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" sheetId="1" r:id="rId5"/>
    <sheet state="visible" name="Resumen_cruzado" sheetId="2" r:id="rId6"/>
    <sheet state="visible" name="Pedidos" sheetId="3" r:id="rId7"/>
    <sheet state="visible" name="Pagos" sheetId="4" r:id="rId8"/>
    <sheet state="visible" name="Envios" sheetId="5" r:id="rId9"/>
    <sheet state="visible" name="Tickets" sheetId="6" r:id="rId10"/>
    <sheet state="visible" name="Incidencias" sheetId="7" r:id="rId11"/>
    <sheet state="visible" name="Parametros" sheetId="8" r:id="rId12"/>
    <sheet state="visible" name="Guia" sheetId="9" r:id="rId13"/>
  </sheets>
  <definedNames/>
  <calcPr/>
</workbook>
</file>

<file path=xl/sharedStrings.xml><?xml version="1.0" encoding="utf-8"?>
<sst xmlns="http://schemas.openxmlformats.org/spreadsheetml/2006/main" count="8616" uniqueCount="2472">
  <si>
    <t>pago_id</t>
  </si>
  <si>
    <t>RESUMEN CRUZADO · REGIÓN Y CATEGORÍA</t>
  </si>
  <si>
    <t>pedido_id</t>
  </si>
  <si>
    <t>Matriz dinámica por fórmulas (no objeto PivotTable). Para tabla dinámica nativa, consulta docs/publicar.md.</t>
  </si>
  <si>
    <t>fecha_pago</t>
  </si>
  <si>
    <t>estado_pago</t>
  </si>
  <si>
    <t>PEDIDOS / REGIÓN</t>
  </si>
  <si>
    <t>monto_pagado_clp</t>
  </si>
  <si>
    <t>medio_pago</t>
  </si>
  <si>
    <t>creado_en</t>
  </si>
  <si>
    <t>ACC</t>
  </si>
  <si>
    <t>cliente_id</t>
  </si>
  <si>
    <t>DEP</t>
  </si>
  <si>
    <t>sku</t>
  </si>
  <si>
    <t>HOG</t>
  </si>
  <si>
    <t>categoria</t>
  </si>
  <si>
    <t>MOD</t>
  </si>
  <si>
    <t>cantidad</t>
  </si>
  <si>
    <t>OFI</t>
  </si>
  <si>
    <t>total_clp</t>
  </si>
  <si>
    <t>PAG-0001</t>
  </si>
  <si>
    <t>TEC</t>
  </si>
  <si>
    <t>region</t>
  </si>
  <si>
    <t>TOTAL</t>
  </si>
  <si>
    <t>PED-0001</t>
  </si>
  <si>
    <t>estado_pedido</t>
  </si>
  <si>
    <t>APROBADO</t>
  </si>
  <si>
    <t>TRANSFERENCIA</t>
  </si>
  <si>
    <t>PAG-0002</t>
  </si>
  <si>
    <t>PED-0002</t>
  </si>
  <si>
    <t>TARJETA</t>
  </si>
  <si>
    <t>Biobío</t>
  </si>
  <si>
    <t>PAG-0003</t>
  </si>
  <si>
    <t>PED-0003</t>
  </si>
  <si>
    <t>CLI-0001</t>
  </si>
  <si>
    <t>OFI-505</t>
  </si>
  <si>
    <t>PAG-0004</t>
  </si>
  <si>
    <t>PED-0004</t>
  </si>
  <si>
    <t>Coquimbo</t>
  </si>
  <si>
    <t>CONFIRMADO</t>
  </si>
  <si>
    <t>PAG-0005</t>
  </si>
  <si>
    <t>PED-0005</t>
  </si>
  <si>
    <t>CLI-0002</t>
  </si>
  <si>
    <t>WEBPAY</t>
  </si>
  <si>
    <t>ACC-606</t>
  </si>
  <si>
    <t>PAG-0006</t>
  </si>
  <si>
    <t>PED-0006</t>
  </si>
  <si>
    <t>Maule</t>
  </si>
  <si>
    <t>PAG-0007</t>
  </si>
  <si>
    <t>CLI-0003</t>
  </si>
  <si>
    <t>PED-0007</t>
  </si>
  <si>
    <t>Los Lagos</t>
  </si>
  <si>
    <t>PAG-0008</t>
  </si>
  <si>
    <t>PED-0008</t>
  </si>
  <si>
    <t>CLI-0004</t>
  </si>
  <si>
    <t>TEC-101</t>
  </si>
  <si>
    <t>PAG-0009</t>
  </si>
  <si>
    <t>PED-0009</t>
  </si>
  <si>
    <t>CLI-0005</t>
  </si>
  <si>
    <t>PAG-0010</t>
  </si>
  <si>
    <t>PED-0010</t>
  </si>
  <si>
    <t>PAG-0011</t>
  </si>
  <si>
    <t>CLI-0006</t>
  </si>
  <si>
    <t>PED-0011</t>
  </si>
  <si>
    <t>PAG-0012</t>
  </si>
  <si>
    <t>PED-0012</t>
  </si>
  <si>
    <t>CLI-0007</t>
  </si>
  <si>
    <t>PAG-0013</t>
  </si>
  <si>
    <t>PED-0013</t>
  </si>
  <si>
    <t>CLI-0008</t>
  </si>
  <si>
    <t>DEP-404</t>
  </si>
  <si>
    <t>PAG-0014</t>
  </si>
  <si>
    <t>PED-0014</t>
  </si>
  <si>
    <t>PAG-0015</t>
  </si>
  <si>
    <t>PED-0015</t>
  </si>
  <si>
    <t>CLI-0009</t>
  </si>
  <si>
    <t>PAG-0016</t>
  </si>
  <si>
    <t>PED-0016</t>
  </si>
  <si>
    <t>CLI-0010</t>
  </si>
  <si>
    <t>PAG-0017</t>
  </si>
  <si>
    <t>PED-0017</t>
  </si>
  <si>
    <t>Valparaíso</t>
  </si>
  <si>
    <t>CLI-0011</t>
  </si>
  <si>
    <t>PAG-0018</t>
  </si>
  <si>
    <t>PED-0018</t>
  </si>
  <si>
    <t>PAG-0019</t>
  </si>
  <si>
    <t>PED-0019</t>
  </si>
  <si>
    <t>CLI-0012</t>
  </si>
  <si>
    <t>PAG-0020</t>
  </si>
  <si>
    <t>PED-0020</t>
  </si>
  <si>
    <t>CLI-0013</t>
  </si>
  <si>
    <t>PAG-0021</t>
  </si>
  <si>
    <t>PED-0021</t>
  </si>
  <si>
    <t>PAG-0022</t>
  </si>
  <si>
    <t>CLI-0014</t>
  </si>
  <si>
    <t>PED-0022</t>
  </si>
  <si>
    <t>MOD-303</t>
  </si>
  <si>
    <t>PENDIENTE</t>
  </si>
  <si>
    <t>PAG-0023</t>
  </si>
  <si>
    <t>PED-0023</t>
  </si>
  <si>
    <t>CLI-0015</t>
  </si>
  <si>
    <t>PAG-0024</t>
  </si>
  <si>
    <t>PED-0024</t>
  </si>
  <si>
    <t>CLI-0016</t>
  </si>
  <si>
    <t>PAG-0025</t>
  </si>
  <si>
    <t>PED-0025</t>
  </si>
  <si>
    <t>PAG-0026</t>
  </si>
  <si>
    <t>PED-0026</t>
  </si>
  <si>
    <t>CLI-0017</t>
  </si>
  <si>
    <t>PAG-0027</t>
  </si>
  <si>
    <t>PED-0027</t>
  </si>
  <si>
    <t>CLI-0018</t>
  </si>
  <si>
    <t>PAG-0028</t>
  </si>
  <si>
    <t>PED-0028</t>
  </si>
  <si>
    <t>CLI-0019</t>
  </si>
  <si>
    <t>PAG-0029</t>
  </si>
  <si>
    <t>PED-0029</t>
  </si>
  <si>
    <t>CLI-0020</t>
  </si>
  <si>
    <t>PAG-0030</t>
  </si>
  <si>
    <t>HOG-202</t>
  </si>
  <si>
    <t>PED-0030</t>
  </si>
  <si>
    <t>Metropolitana</t>
  </si>
  <si>
    <t>PAG-0031</t>
  </si>
  <si>
    <t>PED-0031</t>
  </si>
  <si>
    <t>CLI-0021</t>
  </si>
  <si>
    <t>RECHAZADO</t>
  </si>
  <si>
    <t>PAG-0032</t>
  </si>
  <si>
    <t>PED-0032</t>
  </si>
  <si>
    <t>CLI-0022</t>
  </si>
  <si>
    <t>PAG-0033</t>
  </si>
  <si>
    <t>PED-0033</t>
  </si>
  <si>
    <t>CLI-0023</t>
  </si>
  <si>
    <t>PAG-0034</t>
  </si>
  <si>
    <t>PED-0034</t>
  </si>
  <si>
    <t>PAG-0035</t>
  </si>
  <si>
    <t>PED-0035</t>
  </si>
  <si>
    <t>CLI-0024</t>
  </si>
  <si>
    <t>PAG-0036</t>
  </si>
  <si>
    <t>PED-0036</t>
  </si>
  <si>
    <t>CLI-0025</t>
  </si>
  <si>
    <t>PAG-0037</t>
  </si>
  <si>
    <t>PED-0037</t>
  </si>
  <si>
    <t>CLI-0026</t>
  </si>
  <si>
    <t>PAG-0038</t>
  </si>
  <si>
    <t>PED-0038</t>
  </si>
  <si>
    <t>PAG-0039</t>
  </si>
  <si>
    <t>PED-0039</t>
  </si>
  <si>
    <t>CLI-0027</t>
  </si>
  <si>
    <t>PAG-0040</t>
  </si>
  <si>
    <t>PED-0040</t>
  </si>
  <si>
    <t>CLI-0028</t>
  </si>
  <si>
    <t>PAG-0041</t>
  </si>
  <si>
    <t>PED-0041</t>
  </si>
  <si>
    <t>CLI-0029</t>
  </si>
  <si>
    <t>PAG-0042</t>
  </si>
  <si>
    <t>PED-0042</t>
  </si>
  <si>
    <t>PAG-0043</t>
  </si>
  <si>
    <t>PED-0043</t>
  </si>
  <si>
    <t>CLI-0030</t>
  </si>
  <si>
    <t>PAG-0044</t>
  </si>
  <si>
    <t>PED-0044</t>
  </si>
  <si>
    <t>CLI-0031</t>
  </si>
  <si>
    <t>PAG-0045</t>
  </si>
  <si>
    <t>PED-0045</t>
  </si>
  <si>
    <t>CLI-0032</t>
  </si>
  <si>
    <t>PAG-0046</t>
  </si>
  <si>
    <t>PED-0046</t>
  </si>
  <si>
    <t>PAG-0047</t>
  </si>
  <si>
    <t>PED-0047</t>
  </si>
  <si>
    <t>CLI-0033</t>
  </si>
  <si>
    <t>PAG-0048</t>
  </si>
  <si>
    <t>PED-0048</t>
  </si>
  <si>
    <t>CLI-0034</t>
  </si>
  <si>
    <t>PAG-0049</t>
  </si>
  <si>
    <t>PED-0049</t>
  </si>
  <si>
    <t>PAG-0050</t>
  </si>
  <si>
    <t>PED-0050</t>
  </si>
  <si>
    <t>CLI-0036</t>
  </si>
  <si>
    <t>PAG-0051</t>
  </si>
  <si>
    <t>PED-0051</t>
  </si>
  <si>
    <t>CLI-0037</t>
  </si>
  <si>
    <t>PAG-0052</t>
  </si>
  <si>
    <t>PED-0052</t>
  </si>
  <si>
    <t>PAG-0053</t>
  </si>
  <si>
    <t>PED-0053</t>
  </si>
  <si>
    <t>CLI-0038</t>
  </si>
  <si>
    <t>PAG-0054</t>
  </si>
  <si>
    <t>PED-0054</t>
  </si>
  <si>
    <t>PAG-0055</t>
  </si>
  <si>
    <t>PED-0055</t>
  </si>
  <si>
    <t>PAG-0056</t>
  </si>
  <si>
    <t>PED-0056</t>
  </si>
  <si>
    <t>CLI-0039</t>
  </si>
  <si>
    <t>PAG-0057</t>
  </si>
  <si>
    <t>PED-0057</t>
  </si>
  <si>
    <t>CLI-0040</t>
  </si>
  <si>
    <t>PAG-0058</t>
  </si>
  <si>
    <t>PED-0058</t>
  </si>
  <si>
    <t>CLI-0041</t>
  </si>
  <si>
    <t>PAG-0059</t>
  </si>
  <si>
    <t>PED-0059</t>
  </si>
  <si>
    <t>CLI-0042</t>
  </si>
  <si>
    <t>PAG-0060</t>
  </si>
  <si>
    <t>CLI-0043</t>
  </si>
  <si>
    <t>PED-0060</t>
  </si>
  <si>
    <t>PAG-0061</t>
  </si>
  <si>
    <t>PED-0061</t>
  </si>
  <si>
    <t>CLI-0044</t>
  </si>
  <si>
    <t>PAG-0062</t>
  </si>
  <si>
    <t>PED-0062</t>
  </si>
  <si>
    <t>CLI-0045</t>
  </si>
  <si>
    <t>PAG-0063</t>
  </si>
  <si>
    <t>PED-0063</t>
  </si>
  <si>
    <t>CLI-0046</t>
  </si>
  <si>
    <t>PAG-0064</t>
  </si>
  <si>
    <t>PED-0064</t>
  </si>
  <si>
    <t>PAG-0065</t>
  </si>
  <si>
    <t>CLI-0047</t>
  </si>
  <si>
    <t>PED-0065</t>
  </si>
  <si>
    <t>PAG-0066</t>
  </si>
  <si>
    <t>PED-0066</t>
  </si>
  <si>
    <t>CLI-0048</t>
  </si>
  <si>
    <t>PAG-0067</t>
  </si>
  <si>
    <t>PED-0067</t>
  </si>
  <si>
    <t>CLI-0049</t>
  </si>
  <si>
    <t>PAG-0068</t>
  </si>
  <si>
    <t>PED-0068</t>
  </si>
  <si>
    <t>CLI-0050</t>
  </si>
  <si>
    <t>PAG-0069</t>
  </si>
  <si>
    <t>PED-0069</t>
  </si>
  <si>
    <t>PAG-0070</t>
  </si>
  <si>
    <t>CLI-0051</t>
  </si>
  <si>
    <t>PED-0070</t>
  </si>
  <si>
    <t>PAG-0071</t>
  </si>
  <si>
    <t>PED-0071</t>
  </si>
  <si>
    <t>CLI-0052</t>
  </si>
  <si>
    <t>PAG-0072</t>
  </si>
  <si>
    <t>PED-0072</t>
  </si>
  <si>
    <t>CLI-0053</t>
  </si>
  <si>
    <t>PAG-0073</t>
  </si>
  <si>
    <t>PED-0073</t>
  </si>
  <si>
    <t>PAG-0074</t>
  </si>
  <si>
    <t>PED-0074</t>
  </si>
  <si>
    <t>CLI-0054</t>
  </si>
  <si>
    <t>PAG-0075</t>
  </si>
  <si>
    <t>PED-0075</t>
  </si>
  <si>
    <t>CLI-0055</t>
  </si>
  <si>
    <t>PAG-0076</t>
  </si>
  <si>
    <t>PED-0076</t>
  </si>
  <si>
    <t>CLI-0056</t>
  </si>
  <si>
    <t>PAG-0077</t>
  </si>
  <si>
    <t>PED-0077</t>
  </si>
  <si>
    <t>PAG-0078</t>
  </si>
  <si>
    <t>PED-0078</t>
  </si>
  <si>
    <t>CLI-0057</t>
  </si>
  <si>
    <t>PAG-0079</t>
  </si>
  <si>
    <t>PED-0079</t>
  </si>
  <si>
    <t>CLI-0058</t>
  </si>
  <si>
    <t>PAG-0080</t>
  </si>
  <si>
    <t>PED-0080</t>
  </si>
  <si>
    <t>CLI-0059</t>
  </si>
  <si>
    <t>PAG-0081</t>
  </si>
  <si>
    <t>PED-0081</t>
  </si>
  <si>
    <t>PAG-0082</t>
  </si>
  <si>
    <t>PED-0082</t>
  </si>
  <si>
    <t>CLI-0060</t>
  </si>
  <si>
    <t>PAG-0083</t>
  </si>
  <si>
    <t>PED-0083</t>
  </si>
  <si>
    <t>CLI-0061</t>
  </si>
  <si>
    <t>PAG-0084</t>
  </si>
  <si>
    <t>PED-0084</t>
  </si>
  <si>
    <t>CLI-0062</t>
  </si>
  <si>
    <t>PAG-0085</t>
  </si>
  <si>
    <t>PED-0085</t>
  </si>
  <si>
    <t>PAG-0086</t>
  </si>
  <si>
    <t>PED-0086</t>
  </si>
  <si>
    <t>CLI-0063</t>
  </si>
  <si>
    <t>PAG-0087</t>
  </si>
  <si>
    <t>PED-0087</t>
  </si>
  <si>
    <t>CLI-0064</t>
  </si>
  <si>
    <t>PAG-0088</t>
  </si>
  <si>
    <t>PED-0088</t>
  </si>
  <si>
    <t>CLI-0065</t>
  </si>
  <si>
    <t>PAG-0089</t>
  </si>
  <si>
    <t>PED-0089</t>
  </si>
  <si>
    <t>PAG-0090</t>
  </si>
  <si>
    <t>PED-0090</t>
  </si>
  <si>
    <t>CLI-0066</t>
  </si>
  <si>
    <t>PAG-0091</t>
  </si>
  <si>
    <t>PED-0091</t>
  </si>
  <si>
    <t>CLI-0067</t>
  </si>
  <si>
    <t>PAG-0092</t>
  </si>
  <si>
    <t>PED-0092</t>
  </si>
  <si>
    <t>PAG-0093</t>
  </si>
  <si>
    <t>CLI-0068</t>
  </si>
  <si>
    <t>PED-0093</t>
  </si>
  <si>
    <t>PAG-0094</t>
  </si>
  <si>
    <t>PED-0094</t>
  </si>
  <si>
    <t>CLI-0069</t>
  </si>
  <si>
    <t>PAG-0095</t>
  </si>
  <si>
    <t>PED-0095</t>
  </si>
  <si>
    <t>CLI-0070</t>
  </si>
  <si>
    <t>PAG-0096</t>
  </si>
  <si>
    <t>PED-0096</t>
  </si>
  <si>
    <t>PAG-0097</t>
  </si>
  <si>
    <t>PED-0097</t>
  </si>
  <si>
    <t>CLI-0071</t>
  </si>
  <si>
    <t>PAG-0098</t>
  </si>
  <si>
    <t>PED-0098</t>
  </si>
  <si>
    <t>CLI-0072</t>
  </si>
  <si>
    <t>PAG-0099</t>
  </si>
  <si>
    <t>PED-0099</t>
  </si>
  <si>
    <t>PAG-0100</t>
  </si>
  <si>
    <t>PED-0100</t>
  </si>
  <si>
    <t>CLI-0073</t>
  </si>
  <si>
    <t>PAG-0101</t>
  </si>
  <si>
    <t>PED-0101</t>
  </si>
  <si>
    <t>CLI-0074</t>
  </si>
  <si>
    <t>PAG-0102</t>
  </si>
  <si>
    <t>PED-0102</t>
  </si>
  <si>
    <t>CLI-0075</t>
  </si>
  <si>
    <t>PAG-0103</t>
  </si>
  <si>
    <t>PED-0103</t>
  </si>
  <si>
    <t>PAG-0104</t>
  </si>
  <si>
    <t>CLI-0076</t>
  </si>
  <si>
    <t>PED-0104</t>
  </si>
  <si>
    <t>PAG-0105</t>
  </si>
  <si>
    <t>PED-0105</t>
  </si>
  <si>
    <t>PAG-0106</t>
  </si>
  <si>
    <t>CLI-0078</t>
  </si>
  <si>
    <t>PED-0106</t>
  </si>
  <si>
    <t>PAG-0107</t>
  </si>
  <si>
    <t>PED-0107</t>
  </si>
  <si>
    <t>CLI-0079</t>
  </si>
  <si>
    <t>PAG-0108</t>
  </si>
  <si>
    <t>PED-0108</t>
  </si>
  <si>
    <t>CLI-0080</t>
  </si>
  <si>
    <t>PAG-0109</t>
  </si>
  <si>
    <t>PED-0109</t>
  </si>
  <si>
    <t>CLI-0081</t>
  </si>
  <si>
    <t>PAG-0110</t>
  </si>
  <si>
    <t>PED-0110</t>
  </si>
  <si>
    <t>PAG-0111</t>
  </si>
  <si>
    <t>PED-0111</t>
  </si>
  <si>
    <t>CLI-0082</t>
  </si>
  <si>
    <t>PAG-0112</t>
  </si>
  <si>
    <t>PED-0112</t>
  </si>
  <si>
    <t>PAG-0113</t>
  </si>
  <si>
    <t>PED-0113</t>
  </si>
  <si>
    <t>CLI-0083</t>
  </si>
  <si>
    <t>PAG-0114</t>
  </si>
  <si>
    <t>PED-0114</t>
  </si>
  <si>
    <t>CLI-0084</t>
  </si>
  <si>
    <t>PAG-0115</t>
  </si>
  <si>
    <t>PED-0115</t>
  </si>
  <si>
    <t>PAG-0116</t>
  </si>
  <si>
    <t>CLI-0085</t>
  </si>
  <si>
    <t>PED-0116</t>
  </si>
  <si>
    <t>PAG-0117</t>
  </si>
  <si>
    <t>PED-0117</t>
  </si>
  <si>
    <t>CLI-0086</t>
  </si>
  <si>
    <t>PAG-0118</t>
  </si>
  <si>
    <t>PED-0118</t>
  </si>
  <si>
    <t>CLI-0087</t>
  </si>
  <si>
    <t>PAG-0119</t>
  </si>
  <si>
    <t>PED-0119</t>
  </si>
  <si>
    <t>PAG-0120</t>
  </si>
  <si>
    <t>CLI-0088</t>
  </si>
  <si>
    <t>PED-0120</t>
  </si>
  <si>
    <t>PAG-0121</t>
  </si>
  <si>
    <t>PED-0121</t>
  </si>
  <si>
    <t>CLI-0089</t>
  </si>
  <si>
    <t>PAG-0122</t>
  </si>
  <si>
    <t>PED-0122</t>
  </si>
  <si>
    <t>CLI-0090</t>
  </si>
  <si>
    <t>PAG-0123</t>
  </si>
  <si>
    <t>PED-0123</t>
  </si>
  <si>
    <t>CLI-0091</t>
  </si>
  <si>
    <t>PAG-0124</t>
  </si>
  <si>
    <t>PED-0124</t>
  </si>
  <si>
    <t>PAG-0125</t>
  </si>
  <si>
    <t>CLI-0092</t>
  </si>
  <si>
    <t>PED-0125</t>
  </si>
  <si>
    <t>PAG-0126</t>
  </si>
  <si>
    <t>PED-0126</t>
  </si>
  <si>
    <t>CLI-0093</t>
  </si>
  <si>
    <t>PAG-0127</t>
  </si>
  <si>
    <t>PED-0127</t>
  </si>
  <si>
    <t>CLI-0094</t>
  </si>
  <si>
    <t>PAG-0128</t>
  </si>
  <si>
    <t>PED-0128</t>
  </si>
  <si>
    <t>PAG-0129</t>
  </si>
  <si>
    <t>CLI-0095</t>
  </si>
  <si>
    <t>PED-0129</t>
  </si>
  <si>
    <t>PAG-0130</t>
  </si>
  <si>
    <t>PED-0130</t>
  </si>
  <si>
    <t>CLI-0096</t>
  </si>
  <si>
    <t>PAG-0131</t>
  </si>
  <si>
    <t>PED-0131</t>
  </si>
  <si>
    <t>CLI-0097</t>
  </si>
  <si>
    <t>PAG-0132</t>
  </si>
  <si>
    <t>PED-0132</t>
  </si>
  <si>
    <t>CLI-0098</t>
  </si>
  <si>
    <t>PAG-0133</t>
  </si>
  <si>
    <t>PED-0133</t>
  </si>
  <si>
    <t>PAG-0134</t>
  </si>
  <si>
    <t>PED-0134</t>
  </si>
  <si>
    <t>PAG-0135</t>
  </si>
  <si>
    <t>PED-0135</t>
  </si>
  <si>
    <t>CLI-0100</t>
  </si>
  <si>
    <t>PAG-0136</t>
  </si>
  <si>
    <t>PED-0136</t>
  </si>
  <si>
    <t>PAG-0137</t>
  </si>
  <si>
    <t>CLI-0101</t>
  </si>
  <si>
    <t>PED-0137</t>
  </si>
  <si>
    <t>PAG-0138</t>
  </si>
  <si>
    <t>PED-0138</t>
  </si>
  <si>
    <t>CLI-0102</t>
  </si>
  <si>
    <t>PAG-0139</t>
  </si>
  <si>
    <t>PED-0139</t>
  </si>
  <si>
    <t>CLI-0103</t>
  </si>
  <si>
    <t>PAG-0140</t>
  </si>
  <si>
    <t>PED-0140</t>
  </si>
  <si>
    <t>CENTRO DE OPERACIONES  /  TIENDA ONLINE</t>
  </si>
  <si>
    <t>PAG-0141</t>
  </si>
  <si>
    <t>CLI-0104</t>
  </si>
  <si>
    <t>PED-0141</t>
  </si>
  <si>
    <t>PAG-0142</t>
  </si>
  <si>
    <t>PED-0142</t>
  </si>
  <si>
    <t>CLI-0105</t>
  </si>
  <si>
    <t>PAG-0143</t>
  </si>
  <si>
    <t>PED-0143</t>
  </si>
  <si>
    <t>CLI-0106</t>
  </si>
  <si>
    <t>PAG-0144</t>
  </si>
  <si>
    <t>PED-0144</t>
  </si>
  <si>
    <t>SIMULACIÓN · Fecha de corte: 21 OCT 2026 · Moneda: CLP · Actualiza informes con Python</t>
  </si>
  <si>
    <t>PAG-0145</t>
  </si>
  <si>
    <t>CLI-0107</t>
  </si>
  <si>
    <t>PED-0145</t>
  </si>
  <si>
    <t>PAG-0146</t>
  </si>
  <si>
    <t>PED-0146</t>
  </si>
  <si>
    <t>CLI-0108</t>
  </si>
  <si>
    <t>PAG-0147</t>
  </si>
  <si>
    <t>PED-0147</t>
  </si>
  <si>
    <t>CLI-0109</t>
  </si>
  <si>
    <t>PAG-0148</t>
  </si>
  <si>
    <t>PED-0148</t>
  </si>
  <si>
    <t>PAG-0149</t>
  </si>
  <si>
    <t>PED-0149</t>
  </si>
  <si>
    <t>CLI-0110</t>
  </si>
  <si>
    <t>PAG-0150</t>
  </si>
  <si>
    <t>PED-0150</t>
  </si>
  <si>
    <t>PEDIDOS</t>
  </si>
  <si>
    <t>CLI-0111</t>
  </si>
  <si>
    <t>PAG-0151</t>
  </si>
  <si>
    <t>VENTAS NOMINALES</t>
  </si>
  <si>
    <t>PED-0151</t>
  </si>
  <si>
    <t>INCIDENCIAS ABIERTAS</t>
  </si>
  <si>
    <t>CLI-0112</t>
  </si>
  <si>
    <t>PAG-0152</t>
  </si>
  <si>
    <t>INCIDENCIAS RESUELTAS</t>
  </si>
  <si>
    <t>PED-0152</t>
  </si>
  <si>
    <t>ENVÍOS ENTREGADOS</t>
  </si>
  <si>
    <t>PAG-0153</t>
  </si>
  <si>
    <t>PED-0153</t>
  </si>
  <si>
    <t>CLI-0113</t>
  </si>
  <si>
    <t>PAG-0154</t>
  </si>
  <si>
    <t>PED-0154</t>
  </si>
  <si>
    <t>CLI-0114</t>
  </si>
  <si>
    <t>PAG-0155</t>
  </si>
  <si>
    <t>PED-0155</t>
  </si>
  <si>
    <t>CLI-0115</t>
  </si>
  <si>
    <t>PAG-0156</t>
  </si>
  <si>
    <t>PED-0156</t>
  </si>
  <si>
    <t>PAG-0157</t>
  </si>
  <si>
    <t>PED-0157</t>
  </si>
  <si>
    <t>CLI-0116</t>
  </si>
  <si>
    <t>PAG-0158</t>
  </si>
  <si>
    <t>PED-0158</t>
  </si>
  <si>
    <t>CLI-0117</t>
  </si>
  <si>
    <t>PAG-0159</t>
  </si>
  <si>
    <t>PED-0159</t>
  </si>
  <si>
    <t>PAG-0160</t>
  </si>
  <si>
    <t>PED-0160</t>
  </si>
  <si>
    <t>CLI-0118</t>
  </si>
  <si>
    <t>VENTAS NOMINALES (CLP) / REGIÓN</t>
  </si>
  <si>
    <t>PAG-0161</t>
  </si>
  <si>
    <t>PED-0161</t>
  </si>
  <si>
    <t>CLI-0119</t>
  </si>
  <si>
    <t>PAG-0162</t>
  </si>
  <si>
    <t>PED-0162</t>
  </si>
  <si>
    <t>CLI-0120</t>
  </si>
  <si>
    <t>PAG-0163</t>
  </si>
  <si>
    <t>PED-0163</t>
  </si>
  <si>
    <t>CLI-0121</t>
  </si>
  <si>
    <t>PAG-0164</t>
  </si>
  <si>
    <t>PED-0164</t>
  </si>
  <si>
    <t>CLI-0122</t>
  </si>
  <si>
    <t>PAG-0165</t>
  </si>
  <si>
    <t>PED-0165</t>
  </si>
  <si>
    <t>CLI-0123</t>
  </si>
  <si>
    <t>PAG-0166</t>
  </si>
  <si>
    <t>PED-0166</t>
  </si>
  <si>
    <t>PAG-0167</t>
  </si>
  <si>
    <t>PED-0167</t>
  </si>
  <si>
    <t>PAG-0168</t>
  </si>
  <si>
    <t>PED-0168</t>
  </si>
  <si>
    <t>PAG-0169</t>
  </si>
  <si>
    <t>PED-0169</t>
  </si>
  <si>
    <t>PAG-0170</t>
  </si>
  <si>
    <t>PED-0170</t>
  </si>
  <si>
    <t>PAG-0171</t>
  </si>
  <si>
    <t>PED-0171</t>
  </si>
  <si>
    <t>CLI-0124</t>
  </si>
  <si>
    <t>PAG-0172</t>
  </si>
  <si>
    <t>PED-0172</t>
  </si>
  <si>
    <t>PAG-0173</t>
  </si>
  <si>
    <t>PED-0173</t>
  </si>
  <si>
    <t>PAG-0174</t>
  </si>
  <si>
    <t>PED-0174</t>
  </si>
  <si>
    <t>PAG-0175</t>
  </si>
  <si>
    <t>PED-0175</t>
  </si>
  <si>
    <t>CONTROLES DE CALIDAD OPERATIVA</t>
  </si>
  <si>
    <t>PAG-0176</t>
  </si>
  <si>
    <t>CLI-0125</t>
  </si>
  <si>
    <t>PED-0176</t>
  </si>
  <si>
    <t>PAG-0177</t>
  </si>
  <si>
    <t>PED-0177</t>
  </si>
  <si>
    <t>DUPLICADOS</t>
  </si>
  <si>
    <t>PAG-0178</t>
  </si>
  <si>
    <t>PAGOS DISTINTOS</t>
  </si>
  <si>
    <t>PED-0178</t>
  </si>
  <si>
    <t>CLI-0126</t>
  </si>
  <si>
    <t>ENVÍOS ATRASADOS</t>
  </si>
  <si>
    <t>SLA INCUMPLIDOS</t>
  </si>
  <si>
    <t>PAG-0179</t>
  </si>
  <si>
    <t>PED-0179</t>
  </si>
  <si>
    <t>PAGOS PENDIENTES</t>
  </si>
  <si>
    <t>PAG-0180</t>
  </si>
  <si>
    <t>PED-0180</t>
  </si>
  <si>
    <t>CLI-0127</t>
  </si>
  <si>
    <t>PAG-0181</t>
  </si>
  <si>
    <t>PED-0181</t>
  </si>
  <si>
    <t>PAG-0182</t>
  </si>
  <si>
    <t>PED-0182</t>
  </si>
  <si>
    <t>CLI-0128</t>
  </si>
  <si>
    <t>PAG-0183</t>
  </si>
  <si>
    <t>PED-0183</t>
  </si>
  <si>
    <t>PAG-0184</t>
  </si>
  <si>
    <t>PED-0184</t>
  </si>
  <si>
    <t>CLI-0129</t>
  </si>
  <si>
    <t>PAG-0185</t>
  </si>
  <si>
    <t>PED-0185</t>
  </si>
  <si>
    <t>CLI-0131</t>
  </si>
  <si>
    <t>PAG-0186</t>
  </si>
  <si>
    <t>PED-0186</t>
  </si>
  <si>
    <t>PAG-0187</t>
  </si>
  <si>
    <t>PED-0187</t>
  </si>
  <si>
    <t>CLI-0132</t>
  </si>
  <si>
    <t>PAG-0188</t>
  </si>
  <si>
    <t>PED-0188</t>
  </si>
  <si>
    <t>PAG-0189</t>
  </si>
  <si>
    <t>PED-0189</t>
  </si>
  <si>
    <t>CLI-0133</t>
  </si>
  <si>
    <t>PAG-0190</t>
  </si>
  <si>
    <t>PED-0190</t>
  </si>
  <si>
    <t>PAG-0191</t>
  </si>
  <si>
    <t>PED-0191</t>
  </si>
  <si>
    <t>PAG-0192</t>
  </si>
  <si>
    <t>CLI-0134</t>
  </si>
  <si>
    <t>PED-0192</t>
  </si>
  <si>
    <t>PAG-0193</t>
  </si>
  <si>
    <t>PED-0193</t>
  </si>
  <si>
    <t>PAG-0194</t>
  </si>
  <si>
    <t>CLI-0135</t>
  </si>
  <si>
    <t>PED-0194</t>
  </si>
  <si>
    <t>PAG-0195</t>
  </si>
  <si>
    <t>PEDIDOS POR REGIÓN</t>
  </si>
  <si>
    <t>PED-0195</t>
  </si>
  <si>
    <t>PAG-0196</t>
  </si>
  <si>
    <t>CLI-0136</t>
  </si>
  <si>
    <t>INCIDENCIAS POR CATEGORÍA</t>
  </si>
  <si>
    <t>PED-0196</t>
  </si>
  <si>
    <t>Región</t>
  </si>
  <si>
    <t>PAG-0197</t>
  </si>
  <si>
    <t>PED-0197</t>
  </si>
  <si>
    <t>Pedidos</t>
  </si>
  <si>
    <t>Ventas CLP</t>
  </si>
  <si>
    <t>Participación</t>
  </si>
  <si>
    <t>PAG-0198</t>
  </si>
  <si>
    <t>PED-0198</t>
  </si>
  <si>
    <t>Tipo</t>
  </si>
  <si>
    <t>CLI-0137</t>
  </si>
  <si>
    <t>Detectadas</t>
  </si>
  <si>
    <t>PAG-0199</t>
  </si>
  <si>
    <t>PED-0199</t>
  </si>
  <si>
    <t>Abiertas</t>
  </si>
  <si>
    <t>Resueltas</t>
  </si>
  <si>
    <t>PAG-0200</t>
  </si>
  <si>
    <t>PED-0200</t>
  </si>
  <si>
    <t>CLI-0138</t>
  </si>
  <si>
    <t>REGION (GRÁFICO)</t>
  </si>
  <si>
    <t>PAG-0201</t>
  </si>
  <si>
    <t>PED-0201</t>
  </si>
  <si>
    <t>PAG-0202</t>
  </si>
  <si>
    <t>PED-0202</t>
  </si>
  <si>
    <t>CLI-0139</t>
  </si>
  <si>
    <t>PAG-0203</t>
  </si>
  <si>
    <t>PED-0203</t>
  </si>
  <si>
    <t>PAG-0204</t>
  </si>
  <si>
    <t>PED-0204</t>
  </si>
  <si>
    <t>CLI-0140</t>
  </si>
  <si>
    <t>PAG-0205</t>
  </si>
  <si>
    <t>PED-0205</t>
  </si>
  <si>
    <t>PAG-0206</t>
  </si>
  <si>
    <t>PED-0206</t>
  </si>
  <si>
    <t>CLI-0141</t>
  </si>
  <si>
    <t>PAG-0207</t>
  </si>
  <si>
    <t>PED-0207</t>
  </si>
  <si>
    <t>PAG-0208</t>
  </si>
  <si>
    <t>PED-0208</t>
  </si>
  <si>
    <t>PAG-0209</t>
  </si>
  <si>
    <t>CLI-0142</t>
  </si>
  <si>
    <t>PED-0209</t>
  </si>
  <si>
    <t>PAG-0210</t>
  </si>
  <si>
    <t>PED-0210</t>
  </si>
  <si>
    <t>CLI-0143</t>
  </si>
  <si>
    <t>PAG-0211</t>
  </si>
  <si>
    <t>PED-0211</t>
  </si>
  <si>
    <t>PAG-0212</t>
  </si>
  <si>
    <t>PED-0212</t>
  </si>
  <si>
    <t>CLI-0144</t>
  </si>
  <si>
    <t>PAG-0213</t>
  </si>
  <si>
    <t>PED-0213</t>
  </si>
  <si>
    <t>PAG-0214</t>
  </si>
  <si>
    <t>PED-0214</t>
  </si>
  <si>
    <t>CLI-0145</t>
  </si>
  <si>
    <t>PAG-0215</t>
  </si>
  <si>
    <t>PED-0215</t>
  </si>
  <si>
    <t>PAG-0216</t>
  </si>
  <si>
    <t>PED-0216</t>
  </si>
  <si>
    <t>CLI-0146</t>
  </si>
  <si>
    <t>PAG-0217</t>
  </si>
  <si>
    <t>PED-0217</t>
  </si>
  <si>
    <t>PAG-0218</t>
  </si>
  <si>
    <t>PED-0218</t>
  </si>
  <si>
    <t>CLI-0147</t>
  </si>
  <si>
    <t>PAG-0219</t>
  </si>
  <si>
    <t>PED-0219</t>
  </si>
  <si>
    <t>CLI-0148</t>
  </si>
  <si>
    <t>PAG-0220</t>
  </si>
  <si>
    <t>PED-0220</t>
  </si>
  <si>
    <t>PAG-0221</t>
  </si>
  <si>
    <t>PED-0221</t>
  </si>
  <si>
    <t>CLI-0149</t>
  </si>
  <si>
    <t>PAG-0222</t>
  </si>
  <si>
    <t>PED-0222</t>
  </si>
  <si>
    <t>PAG-0223</t>
  </si>
  <si>
    <t>PED-0223</t>
  </si>
  <si>
    <t>CLI-0150</t>
  </si>
  <si>
    <t>PAG-0224</t>
  </si>
  <si>
    <t>PED-0224</t>
  </si>
  <si>
    <t>PAG-0225</t>
  </si>
  <si>
    <t>PED-0225</t>
  </si>
  <si>
    <t>CLI-0151</t>
  </si>
  <si>
    <t>PAG-0226</t>
  </si>
  <si>
    <t>PED-0226</t>
  </si>
  <si>
    <t>PAG-0227</t>
  </si>
  <si>
    <t>PED-0227</t>
  </si>
  <si>
    <t>CLI-0152</t>
  </si>
  <si>
    <t>PAG-0228</t>
  </si>
  <si>
    <t>PED-0228</t>
  </si>
  <si>
    <t>PAG-0229</t>
  </si>
  <si>
    <t>PED-0229</t>
  </si>
  <si>
    <t>CLI-0153</t>
  </si>
  <si>
    <t>Duplicados</t>
  </si>
  <si>
    <t>PAG-0230</t>
  </si>
  <si>
    <t>PED-0230</t>
  </si>
  <si>
    <t>PAG-0231</t>
  </si>
  <si>
    <t>PED-0231</t>
  </si>
  <si>
    <t>CLI-0154</t>
  </si>
  <si>
    <t>PAG-0232</t>
  </si>
  <si>
    <t>PED-0232</t>
  </si>
  <si>
    <t>PAG-0233</t>
  </si>
  <si>
    <t>PED-0233</t>
  </si>
  <si>
    <t>CLI-0155</t>
  </si>
  <si>
    <t>PAG-0234</t>
  </si>
  <si>
    <t>PED-0234</t>
  </si>
  <si>
    <t>PAG-0235</t>
  </si>
  <si>
    <t>PED-0235</t>
  </si>
  <si>
    <t>CLI-0156</t>
  </si>
  <si>
    <t>PAG-0236</t>
  </si>
  <si>
    <t>PED-0236</t>
  </si>
  <si>
    <t>PAG-0237</t>
  </si>
  <si>
    <t>CLI-0157</t>
  </si>
  <si>
    <t>PED-0237</t>
  </si>
  <si>
    <t>PAG-0238</t>
  </si>
  <si>
    <t>PED-0238</t>
  </si>
  <si>
    <t>CLI-0158</t>
  </si>
  <si>
    <t>PAG-0239</t>
  </si>
  <si>
    <t>PED-0239</t>
  </si>
  <si>
    <t>PAG-0240</t>
  </si>
  <si>
    <t>PED-0240</t>
  </si>
  <si>
    <t>CLI-0159</t>
  </si>
  <si>
    <t>PAG-0241</t>
  </si>
  <si>
    <t>PED-0241</t>
  </si>
  <si>
    <t>PAG-0242</t>
  </si>
  <si>
    <t>PED-0242</t>
  </si>
  <si>
    <t>CLI-0160</t>
  </si>
  <si>
    <t>PAG-0243</t>
  </si>
  <si>
    <t>PED-0243</t>
  </si>
  <si>
    <t>PAG-0244</t>
  </si>
  <si>
    <t>PED-0244</t>
  </si>
  <si>
    <t>CLI-0161</t>
  </si>
  <si>
    <t>PAG-0245</t>
  </si>
  <si>
    <t>PED-0245</t>
  </si>
  <si>
    <t>PAG-0246</t>
  </si>
  <si>
    <t>PED-0246</t>
  </si>
  <si>
    <t>CLI-0162</t>
  </si>
  <si>
    <t>PAG-0247</t>
  </si>
  <si>
    <t>PED-0247</t>
  </si>
  <si>
    <t>PAG-0248</t>
  </si>
  <si>
    <t>PED-0248</t>
  </si>
  <si>
    <t>CLI-0163</t>
  </si>
  <si>
    <t>PAG-0249</t>
  </si>
  <si>
    <t>PED-0249</t>
  </si>
  <si>
    <t>PAG-0250</t>
  </si>
  <si>
    <t>PED-0250</t>
  </si>
  <si>
    <t>PAG-0251</t>
  </si>
  <si>
    <t>CLI-0164</t>
  </si>
  <si>
    <t>PED-0251</t>
  </si>
  <si>
    <t>PAG-0252</t>
  </si>
  <si>
    <t>PED-0252</t>
  </si>
  <si>
    <t>PAG-0253</t>
  </si>
  <si>
    <t>PED-0253</t>
  </si>
  <si>
    <t>PAG-0254</t>
  </si>
  <si>
    <t>PED-0254</t>
  </si>
  <si>
    <t>PAG-0255</t>
  </si>
  <si>
    <t>PED-0255</t>
  </si>
  <si>
    <t>CLI-0166</t>
  </si>
  <si>
    <t>PAG-0256</t>
  </si>
  <si>
    <t>PED-0256</t>
  </si>
  <si>
    <t>PAG-0257</t>
  </si>
  <si>
    <t>PED-0257</t>
  </si>
  <si>
    <t>PAG-0258</t>
  </si>
  <si>
    <t>PED-0258</t>
  </si>
  <si>
    <t>CLI-0167</t>
  </si>
  <si>
    <t>PAG-0259</t>
  </si>
  <si>
    <t>PED-0259</t>
  </si>
  <si>
    <t>PAG-0260</t>
  </si>
  <si>
    <t>PED-0260</t>
  </si>
  <si>
    <t>CLI-0168</t>
  </si>
  <si>
    <t>PAG-0261</t>
  </si>
  <si>
    <t>PED-0261</t>
  </si>
  <si>
    <t>Pagos</t>
  </si>
  <si>
    <t>PAG-0262</t>
  </si>
  <si>
    <t>PED-0262</t>
  </si>
  <si>
    <t>CLI-0169</t>
  </si>
  <si>
    <t>PAG-0263</t>
  </si>
  <si>
    <t>PED-0263</t>
  </si>
  <si>
    <t>PAG-0264</t>
  </si>
  <si>
    <t>PED-0264</t>
  </si>
  <si>
    <t>PAG-0265</t>
  </si>
  <si>
    <t>PED-0265</t>
  </si>
  <si>
    <t>PAG-0266</t>
  </si>
  <si>
    <t>PED-0266</t>
  </si>
  <si>
    <t>PAG-0267</t>
  </si>
  <si>
    <t>PED-0267</t>
  </si>
  <si>
    <t>PAG-0268</t>
  </si>
  <si>
    <t>PED-0268</t>
  </si>
  <si>
    <t>CLI-0170</t>
  </si>
  <si>
    <t>PAG-0269</t>
  </si>
  <si>
    <t>PED-0269</t>
  </si>
  <si>
    <t>PAG-0270</t>
  </si>
  <si>
    <t>PED-0270</t>
  </si>
  <si>
    <t>CLI-0171</t>
  </si>
  <si>
    <t>PAG-0271</t>
  </si>
  <si>
    <t>PED-0271</t>
  </si>
  <si>
    <t>PAG-0272</t>
  </si>
  <si>
    <t>PED-0272</t>
  </si>
  <si>
    <t>CLI-0172</t>
  </si>
  <si>
    <t>PAG-0273</t>
  </si>
  <si>
    <t>PED-0273</t>
  </si>
  <si>
    <t>PAG-0274</t>
  </si>
  <si>
    <t>PED-0274</t>
  </si>
  <si>
    <t>CLI-0173</t>
  </si>
  <si>
    <t>PAG-0275</t>
  </si>
  <si>
    <t>PED-0275</t>
  </si>
  <si>
    <t>PAG-0276</t>
  </si>
  <si>
    <t>PED-0276</t>
  </si>
  <si>
    <t>CLI-0174</t>
  </si>
  <si>
    <t>PAG-0277</t>
  </si>
  <si>
    <t>PED-0277</t>
  </si>
  <si>
    <t>PAG-0278</t>
  </si>
  <si>
    <t>PED-0278</t>
  </si>
  <si>
    <t>CLI-0175</t>
  </si>
  <si>
    <t>PAG-0279</t>
  </si>
  <si>
    <t>PED-0279</t>
  </si>
  <si>
    <t>PAG-0280</t>
  </si>
  <si>
    <t>PED-0280</t>
  </si>
  <si>
    <t>CLI-0176</t>
  </si>
  <si>
    <t>PAG-0281</t>
  </si>
  <si>
    <t>PED-0281</t>
  </si>
  <si>
    <t>PAG-0282</t>
  </si>
  <si>
    <t>PED-0282</t>
  </si>
  <si>
    <t>CLI-0177</t>
  </si>
  <si>
    <t>PAG-0283</t>
  </si>
  <si>
    <t>PED-0283</t>
  </si>
  <si>
    <t>PAG-0284</t>
  </si>
  <si>
    <t>PED-0284</t>
  </si>
  <si>
    <t>CLI-0178</t>
  </si>
  <si>
    <t>PAG-0285</t>
  </si>
  <si>
    <t>PED-0285</t>
  </si>
  <si>
    <t>PAG-0286</t>
  </si>
  <si>
    <t>PED-0286</t>
  </si>
  <si>
    <t>CLI-0179</t>
  </si>
  <si>
    <t>Envíos</t>
  </si>
  <si>
    <t>PAG-0287</t>
  </si>
  <si>
    <t>PED-0287</t>
  </si>
  <si>
    <t>PAG-0288</t>
  </si>
  <si>
    <t>PED-0288</t>
  </si>
  <si>
    <t>CLI-0180</t>
  </si>
  <si>
    <t>PAG-0289</t>
  </si>
  <si>
    <t>PED-0289</t>
  </si>
  <si>
    <t>PAG-0290</t>
  </si>
  <si>
    <t>PED-0290</t>
  </si>
  <si>
    <t>CLI-0181</t>
  </si>
  <si>
    <t>PAG-0291</t>
  </si>
  <si>
    <t>PED-0291</t>
  </si>
  <si>
    <t>CLI-0182</t>
  </si>
  <si>
    <t>CLI-0183</t>
  </si>
  <si>
    <t>PAG-0292</t>
  </si>
  <si>
    <t>PED-0292</t>
  </si>
  <si>
    <t>CLI-0184</t>
  </si>
  <si>
    <t>PAG-0293</t>
  </si>
  <si>
    <t>PED-0293</t>
  </si>
  <si>
    <t>PAG-0294</t>
  </si>
  <si>
    <t>PED-0294</t>
  </si>
  <si>
    <t>CLI-0185</t>
  </si>
  <si>
    <t>PAG-0295</t>
  </si>
  <si>
    <t>PED-0295</t>
  </si>
  <si>
    <t>PAG-0296</t>
  </si>
  <si>
    <t>PED-0296</t>
  </si>
  <si>
    <t>CLI-0186</t>
  </si>
  <si>
    <t>PAG-0297</t>
  </si>
  <si>
    <t>PED-0297</t>
  </si>
  <si>
    <t>PAG-0298</t>
  </si>
  <si>
    <t>PED-0298</t>
  </si>
  <si>
    <t>CLI-0187</t>
  </si>
  <si>
    <t>PAG-0299</t>
  </si>
  <si>
    <t>PED-0299</t>
  </si>
  <si>
    <t>PAG-0300</t>
  </si>
  <si>
    <t>PED-0300</t>
  </si>
  <si>
    <t>CLI-0188</t>
  </si>
  <si>
    <t>PAG-0301</t>
  </si>
  <si>
    <t>PED-0301</t>
  </si>
  <si>
    <t>PAG-0302</t>
  </si>
  <si>
    <t>PED-0302</t>
  </si>
  <si>
    <t>PAG-0303</t>
  </si>
  <si>
    <t>CLI-0189</t>
  </si>
  <si>
    <t>PED-0303</t>
  </si>
  <si>
    <t>PAG-0304</t>
  </si>
  <si>
    <t>PED-0304</t>
  </si>
  <si>
    <t>PAG-0305</t>
  </si>
  <si>
    <t>PED-0305</t>
  </si>
  <si>
    <t>CLI-0190</t>
  </si>
  <si>
    <t>PAG-0306</t>
  </si>
  <si>
    <t>PED-0306</t>
  </si>
  <si>
    <t>PAG-0307</t>
  </si>
  <si>
    <t>PED-0307</t>
  </si>
  <si>
    <t>CLI-0191</t>
  </si>
  <si>
    <t>PAG-0308</t>
  </si>
  <si>
    <t>PED-0308</t>
  </si>
  <si>
    <t>PAG-0309</t>
  </si>
  <si>
    <t>PED-0309</t>
  </si>
  <si>
    <t>PAG-0310</t>
  </si>
  <si>
    <t>PED-0310</t>
  </si>
  <si>
    <t>CLI-0192</t>
  </si>
  <si>
    <t>PAG-0311</t>
  </si>
  <si>
    <t>PED-0311</t>
  </si>
  <si>
    <t>PAG-0312</t>
  </si>
  <si>
    <t>PED-0312</t>
  </si>
  <si>
    <t>CLI-0193</t>
  </si>
  <si>
    <t>PAG-0313</t>
  </si>
  <si>
    <t>PED-0313</t>
  </si>
  <si>
    <t>PAG-0314</t>
  </si>
  <si>
    <t>PED-0314</t>
  </si>
  <si>
    <t>SLA</t>
  </si>
  <si>
    <t>CLI-0194</t>
  </si>
  <si>
    <t>PAG-0315</t>
  </si>
  <si>
    <t>PED-0315</t>
  </si>
  <si>
    <t>PAG-0316</t>
  </si>
  <si>
    <t>PED-0316</t>
  </si>
  <si>
    <t>PAG-0317</t>
  </si>
  <si>
    <t>PED-0317</t>
  </si>
  <si>
    <t>CLI-0195</t>
  </si>
  <si>
    <t>PAG-0318</t>
  </si>
  <si>
    <t>PED-0318</t>
  </si>
  <si>
    <t>PAG-0319</t>
  </si>
  <si>
    <t>PED-0319</t>
  </si>
  <si>
    <t>CLI-0196</t>
  </si>
  <si>
    <t>PAG-0320</t>
  </si>
  <si>
    <t>PED-0320</t>
  </si>
  <si>
    <t>PAG-0321</t>
  </si>
  <si>
    <t>PED-0321</t>
  </si>
  <si>
    <t>PAG-0322</t>
  </si>
  <si>
    <t>PED-0322</t>
  </si>
  <si>
    <t>CLI-0197</t>
  </si>
  <si>
    <t>PAG-0323</t>
  </si>
  <si>
    <t>PED-0323</t>
  </si>
  <si>
    <t>PAG-0324</t>
  </si>
  <si>
    <t>PED-0324</t>
  </si>
  <si>
    <t>CLI-0198</t>
  </si>
  <si>
    <t>PAG-0325</t>
  </si>
  <si>
    <t>PED-0325</t>
  </si>
  <si>
    <t>PAG-0326</t>
  </si>
  <si>
    <t>PED-0326</t>
  </si>
  <si>
    <t>PAG-0327</t>
  </si>
  <si>
    <t>PED-0327</t>
  </si>
  <si>
    <t>CLI-0199</t>
  </si>
  <si>
    <t>PAG-0328</t>
  </si>
  <si>
    <t>PED-0328</t>
  </si>
  <si>
    <t>PAG-0329</t>
  </si>
  <si>
    <t>PED-0329</t>
  </si>
  <si>
    <t>PAG-0330</t>
  </si>
  <si>
    <t>PED-0330</t>
  </si>
  <si>
    <t>PAG-0331</t>
  </si>
  <si>
    <t>PED-0331</t>
  </si>
  <si>
    <t>PAG-0332</t>
  </si>
  <si>
    <t>CLI-0201</t>
  </si>
  <si>
    <t>PED-0332</t>
  </si>
  <si>
    <t>PAG-0333</t>
  </si>
  <si>
    <t>PED-0333</t>
  </si>
  <si>
    <t>CLI-0202</t>
  </si>
  <si>
    <t>PAG-0334</t>
  </si>
  <si>
    <t>PED-0334</t>
  </si>
  <si>
    <t>PAG-0335</t>
  </si>
  <si>
    <t>PED-0335</t>
  </si>
  <si>
    <t>PAG-0336</t>
  </si>
  <si>
    <t>CLI-0203</t>
  </si>
  <si>
    <t>PED-0336</t>
  </si>
  <si>
    <t>PAG-0337</t>
  </si>
  <si>
    <t>PED-0337</t>
  </si>
  <si>
    <t>PAG-0338</t>
  </si>
  <si>
    <t>PED-0338</t>
  </si>
  <si>
    <t>CLI-0204</t>
  </si>
  <si>
    <t>PAG-0339</t>
  </si>
  <si>
    <t>PED-0339</t>
  </si>
  <si>
    <t>PAG-0340</t>
  </si>
  <si>
    <t>PED-0340</t>
  </si>
  <si>
    <t>CLI-0205</t>
  </si>
  <si>
    <t>PAG-0341</t>
  </si>
  <si>
    <t>PED-0341</t>
  </si>
  <si>
    <t>PAG-0342</t>
  </si>
  <si>
    <t>PED-0342</t>
  </si>
  <si>
    <t>PAG-0343</t>
  </si>
  <si>
    <t>PED-0343</t>
  </si>
  <si>
    <t>CLI-0206</t>
  </si>
  <si>
    <t>PAG-0344</t>
  </si>
  <si>
    <t>PED-0344</t>
  </si>
  <si>
    <t>PAG-0345</t>
  </si>
  <si>
    <t>PED-0345</t>
  </si>
  <si>
    <t>CLI-0207</t>
  </si>
  <si>
    <t>PAG-0346</t>
  </si>
  <si>
    <t>PED-0346</t>
  </si>
  <si>
    <t>PAG-0347</t>
  </si>
  <si>
    <t>GRÁFICOS DE SEGUIMIENTO</t>
  </si>
  <si>
    <t>CLI-0208</t>
  </si>
  <si>
    <t xml:space="preserve"> </t>
  </si>
  <si>
    <t>PED-0347</t>
  </si>
  <si>
    <t>PAG-0348</t>
  </si>
  <si>
    <t>PED-0348</t>
  </si>
  <si>
    <t>CLI-0209</t>
  </si>
  <si>
    <t>PAG-0349</t>
  </si>
  <si>
    <t>PED-0349</t>
  </si>
  <si>
    <t>PAG-0350</t>
  </si>
  <si>
    <t>PED-0350</t>
  </si>
  <si>
    <t>CLI-0210</t>
  </si>
  <si>
    <t>PAG-0351</t>
  </si>
  <si>
    <t>PED-0351</t>
  </si>
  <si>
    <t>PAG-0352</t>
  </si>
  <si>
    <t>CLI-0211</t>
  </si>
  <si>
    <t>PED-0352</t>
  </si>
  <si>
    <t>CLI-0212</t>
  </si>
  <si>
    <t>PAG-0353</t>
  </si>
  <si>
    <t>PED-0353</t>
  </si>
  <si>
    <t>PAG-0354</t>
  </si>
  <si>
    <t>PED-0354</t>
  </si>
  <si>
    <t>CLI-0213</t>
  </si>
  <si>
    <t>PAG-0355</t>
  </si>
  <si>
    <t>PED-0355</t>
  </si>
  <si>
    <t>PAG-0356</t>
  </si>
  <si>
    <t>PED-0356</t>
  </si>
  <si>
    <t>CLI-0214</t>
  </si>
  <si>
    <t>PAG-0357</t>
  </si>
  <si>
    <t>PED-0357</t>
  </si>
  <si>
    <t>PAG-0358</t>
  </si>
  <si>
    <t>PED-0358</t>
  </si>
  <si>
    <t>CLI-0215</t>
  </si>
  <si>
    <t>PAG-0359</t>
  </si>
  <si>
    <t>PED-0359</t>
  </si>
  <si>
    <t>PAG-0360</t>
  </si>
  <si>
    <t>PED-0360</t>
  </si>
  <si>
    <t>CLI-0216</t>
  </si>
  <si>
    <t>PAG-0361</t>
  </si>
  <si>
    <t>PED-0361</t>
  </si>
  <si>
    <t>PAG-0362</t>
  </si>
  <si>
    <t>PED-0362</t>
  </si>
  <si>
    <t>PAG-0363</t>
  </si>
  <si>
    <t>CLI-0217</t>
  </si>
  <si>
    <t>PED-0363</t>
  </si>
  <si>
    <t>PAG-0364</t>
  </si>
  <si>
    <t>PED-0364</t>
  </si>
  <si>
    <t>CLI-0218</t>
  </si>
  <si>
    <t>PAG-0365</t>
  </si>
  <si>
    <t>PED-0365</t>
  </si>
  <si>
    <t>PAG-0366</t>
  </si>
  <si>
    <t>PED-0366</t>
  </si>
  <si>
    <t>CLI-0219</t>
  </si>
  <si>
    <t>PAG-0367</t>
  </si>
  <si>
    <t>PED-0367</t>
  </si>
  <si>
    <t>PAG-0368</t>
  </si>
  <si>
    <t>PED-0368</t>
  </si>
  <si>
    <t>CLI-0220</t>
  </si>
  <si>
    <t>PAG-0369</t>
  </si>
  <si>
    <t>PED-0369</t>
  </si>
  <si>
    <t>PAG-0370</t>
  </si>
  <si>
    <t>PED-0370</t>
  </si>
  <si>
    <t>PAG-0371</t>
  </si>
  <si>
    <t>PED-0371</t>
  </si>
  <si>
    <t>PAG-0372</t>
  </si>
  <si>
    <t>PED-0372</t>
  </si>
  <si>
    <t>Todos los registros son ficticios. El dashboard refleja el CSV del corte; resoluciones nuevas requieren importar Incidencias de nuevo.</t>
  </si>
  <si>
    <t>PAG-0373</t>
  </si>
  <si>
    <t>PED-0373</t>
  </si>
  <si>
    <t>CLI-0221</t>
  </si>
  <si>
    <t>PAG-0374</t>
  </si>
  <si>
    <t>PED-0374</t>
  </si>
  <si>
    <t>PAG-0375</t>
  </si>
  <si>
    <t>PED-0375</t>
  </si>
  <si>
    <t>CLI-0222</t>
  </si>
  <si>
    <t>PAG-0376</t>
  </si>
  <si>
    <t>PED-0376</t>
  </si>
  <si>
    <t>PAG-0377</t>
  </si>
  <si>
    <t>PED-0377</t>
  </si>
  <si>
    <t>PAG-0378</t>
  </si>
  <si>
    <t>CLI-0223</t>
  </si>
  <si>
    <t>PED-0378</t>
  </si>
  <si>
    <t>PAG-0379</t>
  </si>
  <si>
    <t>PED-0379</t>
  </si>
  <si>
    <t>PAG-0380</t>
  </si>
  <si>
    <t>PED-0380</t>
  </si>
  <si>
    <t>CLI-0224</t>
  </si>
  <si>
    <t>PAG-0381</t>
  </si>
  <si>
    <t>PED-0381</t>
  </si>
  <si>
    <t>PAG-0382</t>
  </si>
  <si>
    <t>PED-0382</t>
  </si>
  <si>
    <t>CLI-0225</t>
  </si>
  <si>
    <t>PAG-0383</t>
  </si>
  <si>
    <t>PED-0383</t>
  </si>
  <si>
    <t>PAG-0384</t>
  </si>
  <si>
    <t>PED-0384</t>
  </si>
  <si>
    <t>PAG-0385</t>
  </si>
  <si>
    <t>PED-0385</t>
  </si>
  <si>
    <t>CLI-0226</t>
  </si>
  <si>
    <t>PAG-0386</t>
  </si>
  <si>
    <t>PED-0386</t>
  </si>
  <si>
    <t>PAG-0387</t>
  </si>
  <si>
    <t>PED-0387</t>
  </si>
  <si>
    <t>CLI-0227</t>
  </si>
  <si>
    <t>PAG-0388</t>
  </si>
  <si>
    <t>PED-0388</t>
  </si>
  <si>
    <t>PAG-0389</t>
  </si>
  <si>
    <t>PED-0389</t>
  </si>
  <si>
    <t>PAG-0390</t>
  </si>
  <si>
    <t>PED-0390</t>
  </si>
  <si>
    <t>CLI-0228</t>
  </si>
  <si>
    <t>PAG-0391</t>
  </si>
  <si>
    <t>PED-0391</t>
  </si>
  <si>
    <t>PAG-0392</t>
  </si>
  <si>
    <t>PED-0392</t>
  </si>
  <si>
    <t>CLI-0229</t>
  </si>
  <si>
    <t>PAG-0393</t>
  </si>
  <si>
    <t>PED-0393</t>
  </si>
  <si>
    <t>PAG-0394</t>
  </si>
  <si>
    <t>PED-0394</t>
  </si>
  <si>
    <t>PAG-0395</t>
  </si>
  <si>
    <t>PED-0395</t>
  </si>
  <si>
    <t>CLI-0230</t>
  </si>
  <si>
    <t>PAG-0396</t>
  </si>
  <si>
    <t>PED-0396</t>
  </si>
  <si>
    <t>PAG-0397</t>
  </si>
  <si>
    <t>PED-0397</t>
  </si>
  <si>
    <t>CLI-0231</t>
  </si>
  <si>
    <t>PAG-0398</t>
  </si>
  <si>
    <t>PED-0398</t>
  </si>
  <si>
    <t>PAG-0399</t>
  </si>
  <si>
    <t>PED-0399</t>
  </si>
  <si>
    <t>CLI-0232</t>
  </si>
  <si>
    <t>PAG-0400</t>
  </si>
  <si>
    <t>PED-0400</t>
  </si>
  <si>
    <t>PAG-0401</t>
  </si>
  <si>
    <t>PED-0401</t>
  </si>
  <si>
    <t>CLI-0233</t>
  </si>
  <si>
    <t>PAG-0402</t>
  </si>
  <si>
    <t>PED-0402</t>
  </si>
  <si>
    <t>PAG-0403</t>
  </si>
  <si>
    <t>PED-0403</t>
  </si>
  <si>
    <t>CLI-0234</t>
  </si>
  <si>
    <t>PAG-0404</t>
  </si>
  <si>
    <t>PED-0404</t>
  </si>
  <si>
    <t>PAG-0405</t>
  </si>
  <si>
    <t>PED-0405</t>
  </si>
  <si>
    <t>CLI-0235</t>
  </si>
  <si>
    <t>PAG-0406</t>
  </si>
  <si>
    <t>PED-0406</t>
  </si>
  <si>
    <t>PAG-0407</t>
  </si>
  <si>
    <t>PED-0407</t>
  </si>
  <si>
    <t>CLI-0236</t>
  </si>
  <si>
    <t>PAG-0408</t>
  </si>
  <si>
    <t>PED-0408</t>
  </si>
  <si>
    <t>PAG-0409</t>
  </si>
  <si>
    <t>PED-0409</t>
  </si>
  <si>
    <t>CLI-0237</t>
  </si>
  <si>
    <t>PAG-0410</t>
  </si>
  <si>
    <t>PED-0410</t>
  </si>
  <si>
    <t>PAG-0411</t>
  </si>
  <si>
    <t>PED-0411</t>
  </si>
  <si>
    <t>PAG-0412</t>
  </si>
  <si>
    <t>PED-0412</t>
  </si>
  <si>
    <t>CLI-0238</t>
  </si>
  <si>
    <t>PAG-0413</t>
  </si>
  <si>
    <t>PED-0413</t>
  </si>
  <si>
    <t>PAG-0414</t>
  </si>
  <si>
    <t>PED-0414</t>
  </si>
  <si>
    <t>CLI-0239</t>
  </si>
  <si>
    <t>PAG-0415</t>
  </si>
  <si>
    <t>PED-0415</t>
  </si>
  <si>
    <t>PAG-0416</t>
  </si>
  <si>
    <t>PED-0416</t>
  </si>
  <si>
    <t>PAG-0417</t>
  </si>
  <si>
    <t>CLI-0240</t>
  </si>
  <si>
    <t>PED-0417</t>
  </si>
  <si>
    <t>PAG-0418</t>
  </si>
  <si>
    <t>PED-0418</t>
  </si>
  <si>
    <t>PAG-0419</t>
  </si>
  <si>
    <t>PED-0419</t>
  </si>
  <si>
    <t>CLI-0241</t>
  </si>
  <si>
    <t>PAG-0420</t>
  </si>
  <si>
    <t>PED-0420</t>
  </si>
  <si>
    <t>PAG-0421</t>
  </si>
  <si>
    <t>PED-0421</t>
  </si>
  <si>
    <t>CLI-0242</t>
  </si>
  <si>
    <t>PAG-0422</t>
  </si>
  <si>
    <t>PED-0422</t>
  </si>
  <si>
    <t>PAG-0423</t>
  </si>
  <si>
    <t>PED-0423</t>
  </si>
  <si>
    <t>PAG-0424</t>
  </si>
  <si>
    <t>PED-0424</t>
  </si>
  <si>
    <t>CLI-0243</t>
  </si>
  <si>
    <t>PAG-0425</t>
  </si>
  <si>
    <t>PED-0425</t>
  </si>
  <si>
    <t>PAG-0426</t>
  </si>
  <si>
    <t>PED-0426</t>
  </si>
  <si>
    <t>CLI-0244</t>
  </si>
  <si>
    <t>PAG-0427</t>
  </si>
  <si>
    <t>PED-0427</t>
  </si>
  <si>
    <t>PAG-0428</t>
  </si>
  <si>
    <t>PED-0428</t>
  </si>
  <si>
    <t>PAG-0429</t>
  </si>
  <si>
    <t>PED-0429</t>
  </si>
  <si>
    <t>PAG-0430</t>
  </si>
  <si>
    <t>PED-0430</t>
  </si>
  <si>
    <t>PAG-0431</t>
  </si>
  <si>
    <t>CLI-0246</t>
  </si>
  <si>
    <t>PED-0431</t>
  </si>
  <si>
    <t>PAG-0432</t>
  </si>
  <si>
    <t>PED-0432</t>
  </si>
  <si>
    <t>PAG-0433</t>
  </si>
  <si>
    <t>PED-0433</t>
  </si>
  <si>
    <t>CLI-0247</t>
  </si>
  <si>
    <t>PAG-0434</t>
  </si>
  <si>
    <t>PED-0434</t>
  </si>
  <si>
    <t>PAG-0435</t>
  </si>
  <si>
    <t>PED-0435</t>
  </si>
  <si>
    <t>CLI-0248</t>
  </si>
  <si>
    <t>PAG-0436</t>
  </si>
  <si>
    <t>PED-0436</t>
  </si>
  <si>
    <t>CLI-0249</t>
  </si>
  <si>
    <t>PAG-0437</t>
  </si>
  <si>
    <t>PED-0437</t>
  </si>
  <si>
    <t>PAG-0438</t>
  </si>
  <si>
    <t>PED-0438</t>
  </si>
  <si>
    <t>CLI-0250</t>
  </si>
  <si>
    <t>PAG-0439</t>
  </si>
  <si>
    <t>PED-0439</t>
  </si>
  <si>
    <t>PAG-0440</t>
  </si>
  <si>
    <t>PED-0440</t>
  </si>
  <si>
    <t>CLI-0251</t>
  </si>
  <si>
    <t>PAG-0441</t>
  </si>
  <si>
    <t>PED-0441</t>
  </si>
  <si>
    <t>PAG-0442</t>
  </si>
  <si>
    <t>PED-0442</t>
  </si>
  <si>
    <t>PAG-0443</t>
  </si>
  <si>
    <t>PED-0443</t>
  </si>
  <si>
    <t>CLI-0252</t>
  </si>
  <si>
    <t>PAG-0444</t>
  </si>
  <si>
    <t>PED-0444</t>
  </si>
  <si>
    <t>PAG-0445</t>
  </si>
  <si>
    <t>PED-0445</t>
  </si>
  <si>
    <t>CLI-0253</t>
  </si>
  <si>
    <t>PAG-0446</t>
  </si>
  <si>
    <t>PED-0446</t>
  </si>
  <si>
    <t>PAG-0447</t>
  </si>
  <si>
    <t>PED-0447</t>
  </si>
  <si>
    <t>CLI-0254</t>
  </si>
  <si>
    <t>PAG-0448</t>
  </si>
  <si>
    <t>PED-0448</t>
  </si>
  <si>
    <t>PAG-0449</t>
  </si>
  <si>
    <t>PED-0449</t>
  </si>
  <si>
    <t>PAG-0450</t>
  </si>
  <si>
    <t>PED-0450</t>
  </si>
  <si>
    <t>CLI-0255</t>
  </si>
  <si>
    <t>PAG-0451</t>
  </si>
  <si>
    <t>PED-0451</t>
  </si>
  <si>
    <t>PAG-0452</t>
  </si>
  <si>
    <t>PED-0452</t>
  </si>
  <si>
    <t>CLI-0256</t>
  </si>
  <si>
    <t>PAG-0453</t>
  </si>
  <si>
    <t>PED-0453</t>
  </si>
  <si>
    <t>PAG-0454</t>
  </si>
  <si>
    <t>PED-0454</t>
  </si>
  <si>
    <t>CLI-0257</t>
  </si>
  <si>
    <t>PAG-0455</t>
  </si>
  <si>
    <t>PED-0455</t>
  </si>
  <si>
    <t>PAG-0456</t>
  </si>
  <si>
    <t>PED-0456</t>
  </si>
  <si>
    <t>CLI-0258</t>
  </si>
  <si>
    <t>PAG-0457</t>
  </si>
  <si>
    <t>PED-0457</t>
  </si>
  <si>
    <t>PAG-0458</t>
  </si>
  <si>
    <t>PED-0458</t>
  </si>
  <si>
    <t>CLI-0259</t>
  </si>
  <si>
    <t>PAG-0459</t>
  </si>
  <si>
    <t>PED-0459</t>
  </si>
  <si>
    <t>PAG-0460</t>
  </si>
  <si>
    <t>PED-0460</t>
  </si>
  <si>
    <t>PAG-0461</t>
  </si>
  <si>
    <t>PED-0461</t>
  </si>
  <si>
    <t>CLI-0260</t>
  </si>
  <si>
    <t>PAG-0462</t>
  </si>
  <si>
    <t>PED-0462</t>
  </si>
  <si>
    <t>PAG-0463</t>
  </si>
  <si>
    <t>PED-0463</t>
  </si>
  <si>
    <t>CLI-0261</t>
  </si>
  <si>
    <t>PAG-0464</t>
  </si>
  <si>
    <t>PED-0464</t>
  </si>
  <si>
    <t>PAG-0465</t>
  </si>
  <si>
    <t>PED-0465</t>
  </si>
  <si>
    <t>CLI-0262</t>
  </si>
  <si>
    <t>PAG-0466</t>
  </si>
  <si>
    <t>PED-0466</t>
  </si>
  <si>
    <t>PAG-0467</t>
  </si>
  <si>
    <t>PED-0467</t>
  </si>
  <si>
    <t>PAG-0468</t>
  </si>
  <si>
    <t>PED-0468</t>
  </si>
  <si>
    <t>CLI-0263</t>
  </si>
  <si>
    <t>PAG-0469</t>
  </si>
  <si>
    <t>PED-0469</t>
  </si>
  <si>
    <t>PAG-0470</t>
  </si>
  <si>
    <t>PED-0470</t>
  </si>
  <si>
    <t>CLI-0264</t>
  </si>
  <si>
    <t>PAG-0471</t>
  </si>
  <si>
    <t>PED-0471</t>
  </si>
  <si>
    <t>PAG-0472</t>
  </si>
  <si>
    <t>PED-0472</t>
  </si>
  <si>
    <t>PAG-0473</t>
  </si>
  <si>
    <t>PED-0473</t>
  </si>
  <si>
    <t>CLI-0265</t>
  </si>
  <si>
    <t>PAG-0474</t>
  </si>
  <si>
    <t>PED-0474</t>
  </si>
  <si>
    <t>PAG-0475</t>
  </si>
  <si>
    <t>PED-0475</t>
  </si>
  <si>
    <t>CLI-0266</t>
  </si>
  <si>
    <t>PAG-0476</t>
  </si>
  <si>
    <t>PED-0476</t>
  </si>
  <si>
    <t>PAG-0477</t>
  </si>
  <si>
    <t>PED-0477</t>
  </si>
  <si>
    <t>CLI-0267</t>
  </si>
  <si>
    <t>PAG-0478</t>
  </si>
  <si>
    <t>PED-0478</t>
  </si>
  <si>
    <t>PAG-0479</t>
  </si>
  <si>
    <t>PED-0479</t>
  </si>
  <si>
    <t>PAG-0480</t>
  </si>
  <si>
    <t>PED-0480</t>
  </si>
  <si>
    <t>CLI-0268</t>
  </si>
  <si>
    <t>PAG-0481</t>
  </si>
  <si>
    <t>PED-0481</t>
  </si>
  <si>
    <t>PAG-0482</t>
  </si>
  <si>
    <t>PED-0482</t>
  </si>
  <si>
    <t>CLI-0269</t>
  </si>
  <si>
    <t>PAG-0483</t>
  </si>
  <si>
    <t>PED-0483</t>
  </si>
  <si>
    <t>PAG-0484</t>
  </si>
  <si>
    <t>PED-0484</t>
  </si>
  <si>
    <t>PAG-0485</t>
  </si>
  <si>
    <t>PED-0485</t>
  </si>
  <si>
    <t>CLI-0270</t>
  </si>
  <si>
    <t>PAG-0486</t>
  </si>
  <si>
    <t>PED-0486</t>
  </si>
  <si>
    <t>PAG-0487</t>
  </si>
  <si>
    <t>PED-0487</t>
  </si>
  <si>
    <t>CLI-0271</t>
  </si>
  <si>
    <t>PAG-0488</t>
  </si>
  <si>
    <t>PED-0488</t>
  </si>
  <si>
    <t>PAG-0489</t>
  </si>
  <si>
    <t>PED-0489</t>
  </si>
  <si>
    <t>CLI-0272</t>
  </si>
  <si>
    <t>PAG-0490</t>
  </si>
  <si>
    <t>PED-0490</t>
  </si>
  <si>
    <t>PAG-0491</t>
  </si>
  <si>
    <t>PED-0491</t>
  </si>
  <si>
    <t>PAG-0492</t>
  </si>
  <si>
    <t>PED-0492</t>
  </si>
  <si>
    <t>CLI-0273</t>
  </si>
  <si>
    <t>PAG-0493</t>
  </si>
  <si>
    <t>PED-0493</t>
  </si>
  <si>
    <t>PAG-0494</t>
  </si>
  <si>
    <t>PED-0494</t>
  </si>
  <si>
    <t>CLI-0274</t>
  </si>
  <si>
    <t>PAG-0495</t>
  </si>
  <si>
    <t>PED-0495</t>
  </si>
  <si>
    <t>PAG-0496</t>
  </si>
  <si>
    <t>PED-0496</t>
  </si>
  <si>
    <t>PAG-0497</t>
  </si>
  <si>
    <t>CLI-0275</t>
  </si>
  <si>
    <t>PED-0497</t>
  </si>
  <si>
    <t>PAG-0498</t>
  </si>
  <si>
    <t>PED-0498</t>
  </si>
  <si>
    <t>PAG-0499</t>
  </si>
  <si>
    <t>PED-0499</t>
  </si>
  <si>
    <t>CLI-0276</t>
  </si>
  <si>
    <t>PAG-0500</t>
  </si>
  <si>
    <t>PED-0500</t>
  </si>
  <si>
    <t>CLI-0277</t>
  </si>
  <si>
    <t>CLI-0279</t>
  </si>
  <si>
    <t>CLI-0280</t>
  </si>
  <si>
    <t>CLI-0281</t>
  </si>
  <si>
    <t>CLI-0282</t>
  </si>
  <si>
    <t>envio_id</t>
  </si>
  <si>
    <t>CLI-0283</t>
  </si>
  <si>
    <t>fecha_compromiso</t>
  </si>
  <si>
    <t>fecha_entrega</t>
  </si>
  <si>
    <t>estado_envio</t>
  </si>
  <si>
    <t>transportista</t>
  </si>
  <si>
    <t>CLI-0284</t>
  </si>
  <si>
    <t>ENV-0001</t>
  </si>
  <si>
    <t>CLI-0285</t>
  </si>
  <si>
    <t>ENTREGADO</t>
  </si>
  <si>
    <t>RUTA_SUR</t>
  </si>
  <si>
    <t>CLI-0286</t>
  </si>
  <si>
    <t>ENV-0002</t>
  </si>
  <si>
    <t>RUTA_NORTE</t>
  </si>
  <si>
    <t>ENV-0003</t>
  </si>
  <si>
    <t>CLI-0287</t>
  </si>
  <si>
    <t>ENV-0004</t>
  </si>
  <si>
    <t>ENV-0005</t>
  </si>
  <si>
    <t>RUTA_CENTRO</t>
  </si>
  <si>
    <t>CLI-0288</t>
  </si>
  <si>
    <t>ENV-0006</t>
  </si>
  <si>
    <t>ENV-0007</t>
  </si>
  <si>
    <t>CLI-0289</t>
  </si>
  <si>
    <t>ENV-0008</t>
  </si>
  <si>
    <t>ENV-0009</t>
  </si>
  <si>
    <t>ENV-0010</t>
  </si>
  <si>
    <t>CLI-0290</t>
  </si>
  <si>
    <t>ENV-0011</t>
  </si>
  <si>
    <t>ENV-0012</t>
  </si>
  <si>
    <t>ENV-0013</t>
  </si>
  <si>
    <t>CLI-0291</t>
  </si>
  <si>
    <t>ENV-0014</t>
  </si>
  <si>
    <t>ENV-0015</t>
  </si>
  <si>
    <t>ENV-0016</t>
  </si>
  <si>
    <t>CLI-0292</t>
  </si>
  <si>
    <t>ENV-0017</t>
  </si>
  <si>
    <t>ENV-0018</t>
  </si>
  <si>
    <t>CLI-0293</t>
  </si>
  <si>
    <t>ENV-0019</t>
  </si>
  <si>
    <t>ENV-0020</t>
  </si>
  <si>
    <t>EN_TRANSITO</t>
  </si>
  <si>
    <t>ENV-0021</t>
  </si>
  <si>
    <t>CLI-0294</t>
  </si>
  <si>
    <t>ENV-0022</t>
  </si>
  <si>
    <t>ENV-0023</t>
  </si>
  <si>
    <t>CLI-0295</t>
  </si>
  <si>
    <t>ENV-0024</t>
  </si>
  <si>
    <t>ENV-0025</t>
  </si>
  <si>
    <t>CLI-0296</t>
  </si>
  <si>
    <t>ENV-0026</t>
  </si>
  <si>
    <t>ENV-0027</t>
  </si>
  <si>
    <t>ENV-0028</t>
  </si>
  <si>
    <t>CLI-0297</t>
  </si>
  <si>
    <t>ENV-0029</t>
  </si>
  <si>
    <t>ENV-0030</t>
  </si>
  <si>
    <t>CLI-0298</t>
  </si>
  <si>
    <t>ENV-0031</t>
  </si>
  <si>
    <t>ENV-0032</t>
  </si>
  <si>
    <t>ENV-0033</t>
  </si>
  <si>
    <t>CLI-0299</t>
  </si>
  <si>
    <t>ENV-0034</t>
  </si>
  <si>
    <t>ENV-0035</t>
  </si>
  <si>
    <t>CLI-0300</t>
  </si>
  <si>
    <t>ENV-0036</t>
  </si>
  <si>
    <t>ENV-0037</t>
  </si>
  <si>
    <t>CLI-0301</t>
  </si>
  <si>
    <t>ENV-0038</t>
  </si>
  <si>
    <t>ENV-0039</t>
  </si>
  <si>
    <t>ENV-0040</t>
  </si>
  <si>
    <t>CLI-0302</t>
  </si>
  <si>
    <t>ENV-0041</t>
  </si>
  <si>
    <t>ENV-0042</t>
  </si>
  <si>
    <t>CLI-0303</t>
  </si>
  <si>
    <t>ENV-0043</t>
  </si>
  <si>
    <t>ENV-0044</t>
  </si>
  <si>
    <t>CLI-0304</t>
  </si>
  <si>
    <t>ENV-0045</t>
  </si>
  <si>
    <t>ENV-0046</t>
  </si>
  <si>
    <t>CLI-0305</t>
  </si>
  <si>
    <t>ENV-0047</t>
  </si>
  <si>
    <t>ENV-0048</t>
  </si>
  <si>
    <t>CLI-0306</t>
  </si>
  <si>
    <t>ENV-0049</t>
  </si>
  <si>
    <t>ENV-0050</t>
  </si>
  <si>
    <t>CLI-0307</t>
  </si>
  <si>
    <t>ENV-0051</t>
  </si>
  <si>
    <t>ENV-0052</t>
  </si>
  <si>
    <t>CLI-0308</t>
  </si>
  <si>
    <t>ENV-0053</t>
  </si>
  <si>
    <t>ENV-0054</t>
  </si>
  <si>
    <t>ENV-0055</t>
  </si>
  <si>
    <t>CLI-0309</t>
  </si>
  <si>
    <t>ENV-0056</t>
  </si>
  <si>
    <t>ENV-0057</t>
  </si>
  <si>
    <t>CLI-0310</t>
  </si>
  <si>
    <t>ENV-0058</t>
  </si>
  <si>
    <t>ENV-0059</t>
  </si>
  <si>
    <t>CLI-0311</t>
  </si>
  <si>
    <t>ENV-0060</t>
  </si>
  <si>
    <t>ENV-0061</t>
  </si>
  <si>
    <t>ENV-0062</t>
  </si>
  <si>
    <t>ENV-0063</t>
  </si>
  <si>
    <t>ENV-0064</t>
  </si>
  <si>
    <t>CLI-0313</t>
  </si>
  <si>
    <t>ENV-0065</t>
  </si>
  <si>
    <t>ENV-0066</t>
  </si>
  <si>
    <t>CLI-0314</t>
  </si>
  <si>
    <t>ENV-0067</t>
  </si>
  <si>
    <t>ENV-0068</t>
  </si>
  <si>
    <t>CLI-0315</t>
  </si>
  <si>
    <t>ENV-0069</t>
  </si>
  <si>
    <t>ENV-0070</t>
  </si>
  <si>
    <t>CLI-0316</t>
  </si>
  <si>
    <t>ENV-0071</t>
  </si>
  <si>
    <t>ENV-0072</t>
  </si>
  <si>
    <t>ENV-0073</t>
  </si>
  <si>
    <t>ENV-0074</t>
  </si>
  <si>
    <t>ENV-0075</t>
  </si>
  <si>
    <t>CLI-0317</t>
  </si>
  <si>
    <t>ENV-0076</t>
  </si>
  <si>
    <t>ENV-0077</t>
  </si>
  <si>
    <t>CLI-0318</t>
  </si>
  <si>
    <t>ENV-0078</t>
  </si>
  <si>
    <t>ENV-0079</t>
  </si>
  <si>
    <t>CLI-0319</t>
  </si>
  <si>
    <t>ENV-0080</t>
  </si>
  <si>
    <t>ENV-0081</t>
  </si>
  <si>
    <t>ticket_id</t>
  </si>
  <si>
    <t>ENV-0082</t>
  </si>
  <si>
    <t>CLI-0320</t>
  </si>
  <si>
    <t>prioridad</t>
  </si>
  <si>
    <t>sla_horas</t>
  </si>
  <si>
    <t>ENV-0083</t>
  </si>
  <si>
    <t>primera_respuesta_en</t>
  </si>
  <si>
    <t>estado_ticket</t>
  </si>
  <si>
    <t>motivo</t>
  </si>
  <si>
    <t>ENV-0084</t>
  </si>
  <si>
    <t>CLI-0321</t>
  </si>
  <si>
    <t>ENV-0085</t>
  </si>
  <si>
    <t>ENV-0086</t>
  </si>
  <si>
    <t>TIC-0001</t>
  </si>
  <si>
    <t>ENV-0087</t>
  </si>
  <si>
    <t>CLI-0322</t>
  </si>
  <si>
    <t>BAJA</t>
  </si>
  <si>
    <t>RESPONDIDO</t>
  </si>
  <si>
    <t>ENV-0088</t>
  </si>
  <si>
    <t>CONSULTA_PAGO</t>
  </si>
  <si>
    <t>TIC-0002</t>
  </si>
  <si>
    <t>ENV-0089</t>
  </si>
  <si>
    <t>PRODUCTO</t>
  </si>
  <si>
    <t>CLI-0323</t>
  </si>
  <si>
    <t>TIC-0003</t>
  </si>
  <si>
    <t>ENV-0090</t>
  </si>
  <si>
    <t>MEDIA</t>
  </si>
  <si>
    <t>ENV-0091</t>
  </si>
  <si>
    <t>TIC-0004</t>
  </si>
  <si>
    <t>ENV-0092</t>
  </si>
  <si>
    <t>CLI-0324</t>
  </si>
  <si>
    <t>TIC-0005</t>
  </si>
  <si>
    <t>ENV-0093</t>
  </si>
  <si>
    <t>ENV-0094</t>
  </si>
  <si>
    <t>TIC-0006</t>
  </si>
  <si>
    <t>CLI-0325</t>
  </si>
  <si>
    <t>ENV-0095</t>
  </si>
  <si>
    <t>TIC-0007</t>
  </si>
  <si>
    <t>ENV-0096</t>
  </si>
  <si>
    <t>ABIERTO</t>
  </si>
  <si>
    <t>TIC-0008</t>
  </si>
  <si>
    <t>CLI-0326</t>
  </si>
  <si>
    <t>ENV-0097</t>
  </si>
  <si>
    <t>ALTA</t>
  </si>
  <si>
    <t>CONSULTA_ENVIO</t>
  </si>
  <si>
    <t>ENV-0098</t>
  </si>
  <si>
    <t>TIC-0009</t>
  </si>
  <si>
    <t>ENV-0099</t>
  </si>
  <si>
    <t>CAMBIO_DIRECCION</t>
  </si>
  <si>
    <t>CLI-0327</t>
  </si>
  <si>
    <t>TIC-0010</t>
  </si>
  <si>
    <t>ENV-0100</t>
  </si>
  <si>
    <t>TIC-0011</t>
  </si>
  <si>
    <t>ENV-0101</t>
  </si>
  <si>
    <t>CLI-0328</t>
  </si>
  <si>
    <t>TIC-0012</t>
  </si>
  <si>
    <t>ENV-0102</t>
  </si>
  <si>
    <t>ENV-0103</t>
  </si>
  <si>
    <t>TIC-0013</t>
  </si>
  <si>
    <t>ENV-0104</t>
  </si>
  <si>
    <t>CLI-0329</t>
  </si>
  <si>
    <t>TIC-0014</t>
  </si>
  <si>
    <t>CLI-0330</t>
  </si>
  <si>
    <t>CLI-0331</t>
  </si>
  <si>
    <t>ENV-0105</t>
  </si>
  <si>
    <t>CLI-0332</t>
  </si>
  <si>
    <t>ENV-0106</t>
  </si>
  <si>
    <t>TIC-0015</t>
  </si>
  <si>
    <t>ENV-0107</t>
  </si>
  <si>
    <t>TIC-0016</t>
  </si>
  <si>
    <t>ENV-0108</t>
  </si>
  <si>
    <t>ENV-0109</t>
  </si>
  <si>
    <t>TIC-0017</t>
  </si>
  <si>
    <t>CLI-0333</t>
  </si>
  <si>
    <t>ENV-0110</t>
  </si>
  <si>
    <t>TIC-0018</t>
  </si>
  <si>
    <t>ENV-0111</t>
  </si>
  <si>
    <t>ENV-0112</t>
  </si>
  <si>
    <t>CLI-0334</t>
  </si>
  <si>
    <t>TIC-0019</t>
  </si>
  <si>
    <t>ENV-0113</t>
  </si>
  <si>
    <t>TIC-0020</t>
  </si>
  <si>
    <t>ENV-0114</t>
  </si>
  <si>
    <t>CLI-0335</t>
  </si>
  <si>
    <t>ENV-0115</t>
  </si>
  <si>
    <t>TIC-0021</t>
  </si>
  <si>
    <t>ENV-0116</t>
  </si>
  <si>
    <t>CLI-0336</t>
  </si>
  <si>
    <t>TIC-0022</t>
  </si>
  <si>
    <t>ENV-0117</t>
  </si>
  <si>
    <t>TIC-0023</t>
  </si>
  <si>
    <t>ENV-0118</t>
  </si>
  <si>
    <t>CLI-0337</t>
  </si>
  <si>
    <t>ENV-0119</t>
  </si>
  <si>
    <t>TIC-0024</t>
  </si>
  <si>
    <t>ENV-0120</t>
  </si>
  <si>
    <t>TIC-0025</t>
  </si>
  <si>
    <t>ENV-0121</t>
  </si>
  <si>
    <t>CLI-0338</t>
  </si>
  <si>
    <t>TIC-0026</t>
  </si>
  <si>
    <t>ENV-0122</t>
  </si>
  <si>
    <t>ENV-0123</t>
  </si>
  <si>
    <t>TIC-0027</t>
  </si>
  <si>
    <t>CLI-0339</t>
  </si>
  <si>
    <t>ENV-0124</t>
  </si>
  <si>
    <t>incidencia_id</t>
  </si>
  <si>
    <t>TIC-0028</t>
  </si>
  <si>
    <t>tipo</t>
  </si>
  <si>
    <t>referencia</t>
  </si>
  <si>
    <t>ENV-0125</t>
  </si>
  <si>
    <t>severidad</t>
  </si>
  <si>
    <t>CLI-0340</t>
  </si>
  <si>
    <t>detalle</t>
  </si>
  <si>
    <t>ENV-0126</t>
  </si>
  <si>
    <t>estado</t>
  </si>
  <si>
    <t>TIC-0029</t>
  </si>
  <si>
    <t>responsable</t>
  </si>
  <si>
    <t>ultima_accion</t>
  </si>
  <si>
    <t>ENV-0127</t>
  </si>
  <si>
    <t>TIC-0030</t>
  </si>
  <si>
    <t>CLI-0341</t>
  </si>
  <si>
    <t>ENV-0128</t>
  </si>
  <si>
    <t>TIC-0031</t>
  </si>
  <si>
    <t>ENVIO_ATRASADO:ENV-0020</t>
  </si>
  <si>
    <t>ENV-0129</t>
  </si>
  <si>
    <t>ENVIO_ATRASADO</t>
  </si>
  <si>
    <t>Compromiso 2026-10-11; 10 día(s) de atraso; estado EN_TRANSITO</t>
  </si>
  <si>
    <t>ENV-0130</t>
  </si>
  <si>
    <t>TIC-0032</t>
  </si>
  <si>
    <t>CLI-0342</t>
  </si>
  <si>
    <t>ENV-0131</t>
  </si>
  <si>
    <t>TIC-0033</t>
  </si>
  <si>
    <t>ENVIO_ATRASADO:ENV-0022</t>
  </si>
  <si>
    <t>ENV-0132</t>
  </si>
  <si>
    <t>Compromiso 2026-08-26; 56 día(s) de atraso; estado PENDIENTE</t>
  </si>
  <si>
    <t>TIC-0034</t>
  </si>
  <si>
    <t>ENV-0133</t>
  </si>
  <si>
    <t>ENVIO_ATRASADO:ENV-0029</t>
  </si>
  <si>
    <t>CLI-0343</t>
  </si>
  <si>
    <t>ENV-0134</t>
  </si>
  <si>
    <t>TIC-0035</t>
  </si>
  <si>
    <t>ENV-0135</t>
  </si>
  <si>
    <t>TIC-0036</t>
  </si>
  <si>
    <t>CLI-0344</t>
  </si>
  <si>
    <t>Compromiso 2026-10-15; 6 día(s) de atraso; estado EN_TRANSITO</t>
  </si>
  <si>
    <t>ENV-0136</t>
  </si>
  <si>
    <t>ENVIO_ATRASADO:ENV-0031</t>
  </si>
  <si>
    <t>TIC-0037</t>
  </si>
  <si>
    <t>Compromiso 2026-08-23; 59 día(s) de atraso; estado PENDIENTE</t>
  </si>
  <si>
    <t>ENVIO_ATRASADO:ENV-0046</t>
  </si>
  <si>
    <t>ENV-0137</t>
  </si>
  <si>
    <t>CLI-0345</t>
  </si>
  <si>
    <t>TIC-0038</t>
  </si>
  <si>
    <t>ENV-0138</t>
  </si>
  <si>
    <t>ENVIO_ATRASADO:ENV-0055</t>
  </si>
  <si>
    <t>TIC-0039</t>
  </si>
  <si>
    <t>Compromiso 2026-10-20; 1 día(s) de atraso; estado EN_TRANSITO</t>
  </si>
  <si>
    <t>ENV-0139</t>
  </si>
  <si>
    <t>CLI-0346</t>
  </si>
  <si>
    <t>ENVIO_ATRASADO:ENV-0066</t>
  </si>
  <si>
    <t>TIC-0040</t>
  </si>
  <si>
    <t>ENV-0140</t>
  </si>
  <si>
    <t>Compromiso 2026-10-16; 5 día(s) de atraso; estado EN_TRANSITO</t>
  </si>
  <si>
    <t>ENV-0141</t>
  </si>
  <si>
    <t>TIC-0041</t>
  </si>
  <si>
    <t>ENVIO_ATRASADO:ENV-0067</t>
  </si>
  <si>
    <t>CLI-0347</t>
  </si>
  <si>
    <t>ENV-0142</t>
  </si>
  <si>
    <t>Compromiso 2026-08-31; 51 día(s) de atraso; estado PENDIENTE</t>
  </si>
  <si>
    <t>TIC-0042</t>
  </si>
  <si>
    <t>ENVIO_ATRASADO:ENV-0084</t>
  </si>
  <si>
    <t>ENV-0143</t>
  </si>
  <si>
    <t>TIC-0043</t>
  </si>
  <si>
    <t>CLI-0348</t>
  </si>
  <si>
    <t>ENV-0144</t>
  </si>
  <si>
    <t>ENVIO_ATRASADO:ENV-0091</t>
  </si>
  <si>
    <t>TIC-0044</t>
  </si>
  <si>
    <t>ENV-0145</t>
  </si>
  <si>
    <t>ENVIO_ATRASADO:ENV-0109</t>
  </si>
  <si>
    <t>CLI-0349</t>
  </si>
  <si>
    <t>ENV-0146</t>
  </si>
  <si>
    <t>Compromiso 2026-09-02; 49 día(s) de atraso; estado PENDIENTE</t>
  </si>
  <si>
    <t>TIC-0045</t>
  </si>
  <si>
    <t>ENV-0147</t>
  </si>
  <si>
    <t>ENVIO_ATRASADO:ENV-0112</t>
  </si>
  <si>
    <t>TIC-0046</t>
  </si>
  <si>
    <t>Compromiso 2026-10-17; 4 día(s) de atraso; estado EN_TRANSITO</t>
  </si>
  <si>
    <t>CLI-0350</t>
  </si>
  <si>
    <t>ENV-0148</t>
  </si>
  <si>
    <t>ENVIO_ATRASADO:ENV-0123</t>
  </si>
  <si>
    <t>TIC-0047</t>
  </si>
  <si>
    <t>Compromiso 2026-10-09; 12 día(s) de atraso; estado EN_TRANSITO</t>
  </si>
  <si>
    <t>ENV-0149</t>
  </si>
  <si>
    <t>ENVIO_ATRASADO:ENV-0141</t>
  </si>
  <si>
    <t>TIC-0048</t>
  </si>
  <si>
    <t>ENV-0150</t>
  </si>
  <si>
    <t>Compromiso 2026-10-13; 8 día(s) de atraso; estado EN_TRANSITO</t>
  </si>
  <si>
    <t>CLI-0351</t>
  </si>
  <si>
    <t>TIC-0049</t>
  </si>
  <si>
    <t>ENV-0151</t>
  </si>
  <si>
    <t>ENVIO_ATRASADO:ENV-0142</t>
  </si>
  <si>
    <t>Compromiso 2026-09-10; 41 día(s) de atraso; estado PENDIENTE</t>
  </si>
  <si>
    <t>ENV-0152</t>
  </si>
  <si>
    <t>ENVIO_ATRASADO:ENV-0154</t>
  </si>
  <si>
    <t>TIC-0050</t>
  </si>
  <si>
    <t>ENV-0154</t>
  </si>
  <si>
    <t>CLI-0352</t>
  </si>
  <si>
    <t>Compromiso 2026-09-09; 42 día(s) de atraso; estado PENDIENTE</t>
  </si>
  <si>
    <t>ENV-0153</t>
  </si>
  <si>
    <t>ENVIO_ATRASADO:ENV-0158</t>
  </si>
  <si>
    <t>TIC-0051</t>
  </si>
  <si>
    <t>ENV-0158</t>
  </si>
  <si>
    <t>Compromiso 2026-10-18; 3 día(s) de atraso; estado EN_TRANSITO</t>
  </si>
  <si>
    <t>CLI-0353</t>
  </si>
  <si>
    <t>ENVIO_ATRASADO:ENV-0176</t>
  </si>
  <si>
    <t>TIC-0052</t>
  </si>
  <si>
    <t>ENV-0155</t>
  </si>
  <si>
    <t>ENV-0176</t>
  </si>
  <si>
    <t>Compromiso 2026-10-19; 2 día(s) de atraso; estado EN_TRANSITO</t>
  </si>
  <si>
    <t>ENV-0156</t>
  </si>
  <si>
    <t>TIC-0053</t>
  </si>
  <si>
    <t>ENVIO_ATRASADO:ENV-0187</t>
  </si>
  <si>
    <t>CLI-0354</t>
  </si>
  <si>
    <t>ENV-0187</t>
  </si>
  <si>
    <t>ENV-0157</t>
  </si>
  <si>
    <t>TIC-0054</t>
  </si>
  <si>
    <t>ENVIO_ATRASADO:ENV-0199</t>
  </si>
  <si>
    <t>ENV-0199</t>
  </si>
  <si>
    <t>TIC-0055</t>
  </si>
  <si>
    <t>ENVIO_ATRASADO:ENV-0202</t>
  </si>
  <si>
    <t>ENV-0202</t>
  </si>
  <si>
    <t>ENV-0159</t>
  </si>
  <si>
    <t>Compromiso 2026-09-18; 33 día(s) de atraso; estado PENDIENTE</t>
  </si>
  <si>
    <t>TIC-0056</t>
  </si>
  <si>
    <t>ENVIO_ATRASADO:ENV-0216</t>
  </si>
  <si>
    <t>ENV-0160</t>
  </si>
  <si>
    <t>ENV-0216</t>
  </si>
  <si>
    <t>Compromiso 2026-10-10; 11 día(s) de atraso; estado EN_TRANSITO</t>
  </si>
  <si>
    <t>TIC-0057</t>
  </si>
  <si>
    <t>ENVIO_ATRASADO:ENV-0229</t>
  </si>
  <si>
    <t>ENV-0161</t>
  </si>
  <si>
    <t>CLI-0356</t>
  </si>
  <si>
    <t>ENV-0229</t>
  </si>
  <si>
    <t>ENV-0162</t>
  </si>
  <si>
    <t>TIC-0058</t>
  </si>
  <si>
    <t>ENVIO_ATRASADO:ENV-0249</t>
  </si>
  <si>
    <t>ENV-0249</t>
  </si>
  <si>
    <t>CLI-0357</t>
  </si>
  <si>
    <t>ENV-0163</t>
  </si>
  <si>
    <t>TIC-0059</t>
  </si>
  <si>
    <t>ENVIO_ATRASADO:ENV-0257</t>
  </si>
  <si>
    <t>ENV-0257</t>
  </si>
  <si>
    <t>ENV-0164</t>
  </si>
  <si>
    <t>Compromiso 2026-09-23; 28 día(s) de atraso; estado PENDIENTE</t>
  </si>
  <si>
    <t>TIC-0060</t>
  </si>
  <si>
    <t>ENVIO_ATRASADO:ENV-0261</t>
  </si>
  <si>
    <t>ENV-0261</t>
  </si>
  <si>
    <t>ENV-0165</t>
  </si>
  <si>
    <t>CLI-0358</t>
  </si>
  <si>
    <t>TIC-0061</t>
  </si>
  <si>
    <t>ENVIO_ATRASADO:ENV-0284</t>
  </si>
  <si>
    <t>ENV-0166</t>
  </si>
  <si>
    <t>ENV-0284</t>
  </si>
  <si>
    <t>Compromiso 2026-10-14; 7 día(s) de atraso; estado EN_TRANSITO</t>
  </si>
  <si>
    <t>ENV-0167</t>
  </si>
  <si>
    <t>TIC-0062</t>
  </si>
  <si>
    <t>ENVIO_ATRASADO:ENV-0292</t>
  </si>
  <si>
    <t>ENV-0292</t>
  </si>
  <si>
    <t>ENV-0168</t>
  </si>
  <si>
    <t>Compromiso 2026-09-26; 25 día(s) de atraso; estado PENDIENTE</t>
  </si>
  <si>
    <t>CLI-0359</t>
  </si>
  <si>
    <t>ENVIO_ATRASADO:ENV-0297</t>
  </si>
  <si>
    <t>TIC-0063</t>
  </si>
  <si>
    <t>ENV-0169</t>
  </si>
  <si>
    <t>ENV-0297</t>
  </si>
  <si>
    <t>ENV-0170</t>
  </si>
  <si>
    <t>TIC-0064</t>
  </si>
  <si>
    <t>ENVIO_ATRASADO:ENV-0305</t>
  </si>
  <si>
    <t>ENV-0305</t>
  </si>
  <si>
    <t>CLI-0360</t>
  </si>
  <si>
    <t>Compromiso 2026-09-27; 24 día(s) de atraso; estado PENDIENTE</t>
  </si>
  <si>
    <t>ENV-0171</t>
  </si>
  <si>
    <t>TIC-0065</t>
  </si>
  <si>
    <t>ENVIO_ATRASADO:ENV-0315</t>
  </si>
  <si>
    <t>ENV-0315</t>
  </si>
  <si>
    <t>ENV-0172</t>
  </si>
  <si>
    <t>TIC-0066</t>
  </si>
  <si>
    <t>CLI-0361</t>
  </si>
  <si>
    <t>ENVIO_ATRASADO:ENV-0327</t>
  </si>
  <si>
    <t>ENV-0173</t>
  </si>
  <si>
    <t>ENV-0327</t>
  </si>
  <si>
    <t>TIC-0067</t>
  </si>
  <si>
    <t>ENV-0174</t>
  </si>
  <si>
    <t>ENVIO_ATRASADO:ENV-0346</t>
  </si>
  <si>
    <t>ENV-0346</t>
  </si>
  <si>
    <t>CLI-0362</t>
  </si>
  <si>
    <t>ENV-0175</t>
  </si>
  <si>
    <t>TIC-0068</t>
  </si>
  <si>
    <t>ENVIO_ATRASADO:ENV-0352</t>
  </si>
  <si>
    <t>ENV-0352</t>
  </si>
  <si>
    <t>Compromiso 2026-10-05; 16 día(s) de atraso; estado PENDIENTE</t>
  </si>
  <si>
    <t>ENVIO_ATRASADO:ENV-0359</t>
  </si>
  <si>
    <t>TIC-0069</t>
  </si>
  <si>
    <t>ENV-0359</t>
  </si>
  <si>
    <t>ENV-0177</t>
  </si>
  <si>
    <t>CLI-0363</t>
  </si>
  <si>
    <t>ENVIO_ATRASADO:ENV-0374</t>
  </si>
  <si>
    <t>ENV-0178</t>
  </si>
  <si>
    <t>ENV-0374</t>
  </si>
  <si>
    <t>TIC-0070</t>
  </si>
  <si>
    <t>ENV-0179</t>
  </si>
  <si>
    <t>ENVIO_ATRASADO:ENV-0385</t>
  </si>
  <si>
    <t>ENV-0385</t>
  </si>
  <si>
    <t>CLI-0364</t>
  </si>
  <si>
    <t>TIC-0071</t>
  </si>
  <si>
    <t>ENV-0180</t>
  </si>
  <si>
    <t>ENVIO_ATRASADO:ENV-0408</t>
  </si>
  <si>
    <t>ENV-0408</t>
  </si>
  <si>
    <t>TIC-0072</t>
  </si>
  <si>
    <t>ENV-0181</t>
  </si>
  <si>
    <t>CLI-0365</t>
  </si>
  <si>
    <t>ENVIO_ATRASADO:ENV-0409</t>
  </si>
  <si>
    <t>ENV-0409</t>
  </si>
  <si>
    <t>ENV-0182</t>
  </si>
  <si>
    <t>TIC-0073</t>
  </si>
  <si>
    <t>Compromiso 2026-10-14; 7 día(s) de atraso; estado PENDIENTE</t>
  </si>
  <si>
    <t>ENVIO_ATRASADO:ENV-0419</t>
  </si>
  <si>
    <t>ENV-0183</t>
  </si>
  <si>
    <t>ENV-0419</t>
  </si>
  <si>
    <t>CLI-0366</t>
  </si>
  <si>
    <t>TIC-0074</t>
  </si>
  <si>
    <t>ENV-0184</t>
  </si>
  <si>
    <t>Compromiso 2026-10-13; 8 día(s) de atraso; estado PENDIENTE</t>
  </si>
  <si>
    <t>ENVIO_ATRASADO:ENV-0431</t>
  </si>
  <si>
    <t>TIC-0075</t>
  </si>
  <si>
    <t>ENV-0431</t>
  </si>
  <si>
    <t>CLI-0367</t>
  </si>
  <si>
    <t>ENV-0185</t>
  </si>
  <si>
    <t>TIC-0076</t>
  </si>
  <si>
    <t>ENVIO_ATRASADO:ENV-0450</t>
  </si>
  <si>
    <t>ENV-0186</t>
  </si>
  <si>
    <t>ENV-0450</t>
  </si>
  <si>
    <t>CLI-0368</t>
  </si>
  <si>
    <t>TIC-0077</t>
  </si>
  <si>
    <t>ENVIO_ATRASADO:ENV-0453</t>
  </si>
  <si>
    <t>ENV-0453</t>
  </si>
  <si>
    <t>TIC-0078</t>
  </si>
  <si>
    <t>CLI-0369</t>
  </si>
  <si>
    <t>ENVIO_ATRASADO:ENV-0454</t>
  </si>
  <si>
    <t>ENV-0454</t>
  </si>
  <si>
    <t>Compromiso 2026-10-20; 1 día(s) de atraso; estado PENDIENTE</t>
  </si>
  <si>
    <t>TIC-0079</t>
  </si>
  <si>
    <t>ENVIO_ATRASADO:ENV-0457</t>
  </si>
  <si>
    <t>ENV-0457</t>
  </si>
  <si>
    <t>CLI-0370</t>
  </si>
  <si>
    <t>ENV-0188</t>
  </si>
  <si>
    <t>TIC-0080</t>
  </si>
  <si>
    <t>ENVIO_ATRASADO:ENV-0460</t>
  </si>
  <si>
    <t>ENV-0460</t>
  </si>
  <si>
    <t>ENV-0189</t>
  </si>
  <si>
    <t>CLI-0371</t>
  </si>
  <si>
    <t>ENVIO_ATRASADO:ENV-0468</t>
  </si>
  <si>
    <t>TIC-0081</t>
  </si>
  <si>
    <t>ENV-0190</t>
  </si>
  <si>
    <t>ENV-0468</t>
  </si>
  <si>
    <t>Compromiso 2026-10-19; 2 día(s) de atraso; estado PENDIENTE</t>
  </si>
  <si>
    <t>ENVIO_ATRASADO:ENV-0469</t>
  </si>
  <si>
    <t>ENV-0191</t>
  </si>
  <si>
    <t>CLI-0372</t>
  </si>
  <si>
    <t>ENV-0469</t>
  </si>
  <si>
    <t>TIC-0082</t>
  </si>
  <si>
    <t>ENV-0192</t>
  </si>
  <si>
    <t>ENVIO_ATRASADO:ENV-0470</t>
  </si>
  <si>
    <t>ENV-0470</t>
  </si>
  <si>
    <t>TIC-0083</t>
  </si>
  <si>
    <t>CLI-0373</t>
  </si>
  <si>
    <t>ENV-0193</t>
  </si>
  <si>
    <t>ENVIO_ATRASADO:ENV-0474</t>
  </si>
  <si>
    <t>ENV-0474</t>
  </si>
  <si>
    <t>ENV-0194</t>
  </si>
  <si>
    <t>TIC-0084</t>
  </si>
  <si>
    <t>CLI-0374</t>
  </si>
  <si>
    <t>ENVIO_ATRASADO:ENV-0477</t>
  </si>
  <si>
    <t>ENV-0195</t>
  </si>
  <si>
    <t>ENV-0477</t>
  </si>
  <si>
    <t>TIC-0085</t>
  </si>
  <si>
    <t>ENV-0196</t>
  </si>
  <si>
    <t>ENVIO_ATRASADO:ENV-0492</t>
  </si>
  <si>
    <t>ENV-0492</t>
  </si>
  <si>
    <t>CLI-0375</t>
  </si>
  <si>
    <t>TIC-0086</t>
  </si>
  <si>
    <t>ENV-0197</t>
  </si>
  <si>
    <t>PAGO_DIFERENTE:PAG-0012</t>
  </si>
  <si>
    <t>PAGO_DIFERENTE</t>
  </si>
  <si>
    <t>ENV-0198</t>
  </si>
  <si>
    <t>TIC-0087</t>
  </si>
  <si>
    <t>Monto pedido $19.990; pago aprobado $18.000; diferencia $-1.990</t>
  </si>
  <si>
    <t>CLI-0376</t>
  </si>
  <si>
    <t>PAGO_DIFERENTE:PAG-0040</t>
  </si>
  <si>
    <t>TIC-0088</t>
  </si>
  <si>
    <t>Monto pedido $34.990; pago aprobado $36.980; diferencia $+1.990</t>
  </si>
  <si>
    <t>ENV-0200</t>
  </si>
  <si>
    <t>PAGO_DIFERENTE:PAG-0073</t>
  </si>
  <si>
    <t>CLI-0377</t>
  </si>
  <si>
    <t>TIC-0089</t>
  </si>
  <si>
    <t>Monto pedido $38.970; pago aprobado $31.980; diferencia $-6.990</t>
  </si>
  <si>
    <t>ENV-0201</t>
  </si>
  <si>
    <t>PAGO_DIFERENTE:PAG-0103</t>
  </si>
  <si>
    <t>TIC-0090</t>
  </si>
  <si>
    <t>Monto pedido $8.990; pago aprobado $7.000; diferencia $-1.990</t>
  </si>
  <si>
    <t>CLI-0378</t>
  </si>
  <si>
    <t>PAGO_DIFERENTE:PAG-0135</t>
  </si>
  <si>
    <t>TIC-0091</t>
  </si>
  <si>
    <t>ENV-0203</t>
  </si>
  <si>
    <t>Monto pedido $49.980; pago aprobado $42.990; diferencia $-6.990</t>
  </si>
  <si>
    <t>PAGO_DIFERENTE:PAG-0167</t>
  </si>
  <si>
    <t>CLI-0379</t>
  </si>
  <si>
    <t>ENV-0204</t>
  </si>
  <si>
    <t>TIC-0092</t>
  </si>
  <si>
    <t>Monto pedido $34.990; pago aprobado $28.000; diferencia $-6.990</t>
  </si>
  <si>
    <t>PAGO_DIFERENTE:PAG-0196</t>
  </si>
  <si>
    <t>ENV-0205</t>
  </si>
  <si>
    <t>Monto pedido $24.990; pago aprobado $26.980; diferencia $+1.990</t>
  </si>
  <si>
    <t>TIC-0093</t>
  </si>
  <si>
    <t>ENV-0206</t>
  </si>
  <si>
    <t>PAGO_DIFERENTE:PAG-0214</t>
  </si>
  <si>
    <t>TIC-0094</t>
  </si>
  <si>
    <t>ENV-0207</t>
  </si>
  <si>
    <t>PAGO_DIFERENTE:PAG-0243</t>
  </si>
  <si>
    <t>TIC-0095</t>
  </si>
  <si>
    <t>Monto pedido $12.990; pago aprobado $14.980; diferencia $+1.990</t>
  </si>
  <si>
    <t>ENV-0208</t>
  </si>
  <si>
    <t>PAGO_DIFERENTE:PAG-0277</t>
  </si>
  <si>
    <t>ENV-0209</t>
  </si>
  <si>
    <t>TIC-0096</t>
  </si>
  <si>
    <t>Monto pedido $19.990; pago aprobado $13.000; diferencia $-6.990</t>
  </si>
  <si>
    <t>PAGO_DIFERENTE:PAG-0310</t>
  </si>
  <si>
    <t>ENV-0210</t>
  </si>
  <si>
    <t>TIC-0097</t>
  </si>
  <si>
    <t>CLI-0380</t>
  </si>
  <si>
    <t>Monto pedido $8.990; pago aprobado $13.980; diferencia $+4.990</t>
  </si>
  <si>
    <t>ENV-0211</t>
  </si>
  <si>
    <t>PAGO_DIFERENTE:PAG-0338</t>
  </si>
  <si>
    <t>TIC-0098</t>
  </si>
  <si>
    <t>Monto pedido $24.990; pago aprobado $23.000; diferencia $-1.990</t>
  </si>
  <si>
    <t>ENV-0212</t>
  </si>
  <si>
    <t>CLI-0381</t>
  </si>
  <si>
    <t>PAGO_DIFERENTE:PAG-0365</t>
  </si>
  <si>
    <t>TIC-0099</t>
  </si>
  <si>
    <t>ENV-0213</t>
  </si>
  <si>
    <t>PAGO_DIFERENTE:PAG-0401</t>
  </si>
  <si>
    <t>TIC-0100</t>
  </si>
  <si>
    <t>ENV-0214</t>
  </si>
  <si>
    <t>CLI-0382</t>
  </si>
  <si>
    <t>Monto pedido $12.990; pago aprobado $17.980; diferencia $+4.990</t>
  </si>
  <si>
    <t>PAGO_DIFERENTE:PAG-0445</t>
  </si>
  <si>
    <t>ENV-0215</t>
  </si>
  <si>
    <t>TIC-0101</t>
  </si>
  <si>
    <t>Monto pedido $8.990; pago aprobado $10.980; diferencia $+1.990</t>
  </si>
  <si>
    <t>PAGO_DIFERENTE:PAG-0475</t>
  </si>
  <si>
    <t>TIC-0102</t>
  </si>
  <si>
    <t>CLI-0383</t>
  </si>
  <si>
    <t>Monto pedido $8.990; pago aprobado $2.000; diferencia $-6.990</t>
  </si>
  <si>
    <t>ENV-0217</t>
  </si>
  <si>
    <t>POSIBLE_DUPLICADO:PED-0035</t>
  </si>
  <si>
    <t>TIC-0103</t>
  </si>
  <si>
    <t>POSIBLE_DUPLICADO</t>
  </si>
  <si>
    <t>ENV-0218</t>
  </si>
  <si>
    <t>Mismo cliente/carrito/monto; primer pedido cercano: PED-0034</t>
  </si>
  <si>
    <t>POSIBLE_DUPLICADO:PED-0077</t>
  </si>
  <si>
    <t>CLI-0384</t>
  </si>
  <si>
    <t>TIC-0104</t>
  </si>
  <si>
    <t>ENV-0219</t>
  </si>
  <si>
    <t>Mismo cliente/carrito/monto; primer pedido cercano: PED-0076</t>
  </si>
  <si>
    <t>POSIBLE_DUPLICADO:PED-0099</t>
  </si>
  <si>
    <t>ENV-0220</t>
  </si>
  <si>
    <t>TIC-0105</t>
  </si>
  <si>
    <t>Mismo cliente/carrito/monto; primer pedido cercano: PED-0098</t>
  </si>
  <si>
    <t>CLI-0385</t>
  </si>
  <si>
    <t>POSIBLE_DUPLICADO:PED-0130</t>
  </si>
  <si>
    <t>ENV-0221</t>
  </si>
  <si>
    <t>TIC-0106</t>
  </si>
  <si>
    <t>Mismo cliente/carrito/monto; primer pedido cercano: PED-0129</t>
  </si>
  <si>
    <t>ENV-0222</t>
  </si>
  <si>
    <t>POSIBLE_DUPLICADO:PED-0165</t>
  </si>
  <si>
    <t>CLI-0386</t>
  </si>
  <si>
    <t>TIC-0107</t>
  </si>
  <si>
    <t>Mismo cliente/carrito/monto; primer pedido cercano: PED-0164</t>
  </si>
  <si>
    <t>ENV-0223</t>
  </si>
  <si>
    <t>POSIBLE_DUPLICADO:PED-0200</t>
  </si>
  <si>
    <t>Mismo cliente/carrito/monto; primer pedido cercano: PED-0199</t>
  </si>
  <si>
    <t>ENV-0224</t>
  </si>
  <si>
    <t>TIC-0108</t>
  </si>
  <si>
    <t>CLI-0387</t>
  </si>
  <si>
    <t>POSIBLE_DUPLICADO:PED-0245</t>
  </si>
  <si>
    <t>Mismo cliente/carrito/monto; primer pedido cercano: PED-0244</t>
  </si>
  <si>
    <t>ENV-0225</t>
  </si>
  <si>
    <t>POSIBLE_DUPLICADO:PED-0278</t>
  </si>
  <si>
    <t>TIC-0109</t>
  </si>
  <si>
    <t>ENV-0226</t>
  </si>
  <si>
    <t>Mismo cliente/carrito/monto; primer pedido cercano: PED-0277</t>
  </si>
  <si>
    <t>CLI-0388</t>
  </si>
  <si>
    <t>POSIBLE_DUPLICADO:PED-0312</t>
  </si>
  <si>
    <t>TIC-0110</t>
  </si>
  <si>
    <t>ENV-0227</t>
  </si>
  <si>
    <t>Mismo cliente/carrito/monto; primer pedido cercano: PED-0311</t>
  </si>
  <si>
    <t>ENV-0228</t>
  </si>
  <si>
    <t>POSIBLE_DUPLICADO:PED-0355</t>
  </si>
  <si>
    <t>TIC-0111</t>
  </si>
  <si>
    <t>Mismo cliente/carrito/monto; primer pedido cercano: PED-0354</t>
  </si>
  <si>
    <t>CLI-0389</t>
  </si>
  <si>
    <t>POSIBLE_DUPLICADO:PED-0398</t>
  </si>
  <si>
    <t>TIC-0112</t>
  </si>
  <si>
    <t>ENV-0230</t>
  </si>
  <si>
    <t>Mismo cliente/carrito/monto; primer pedido cercano: PED-0397</t>
  </si>
  <si>
    <t>POSIBLE_DUPLICADO:PED-0422</t>
  </si>
  <si>
    <t>TIC-0113</t>
  </si>
  <si>
    <t>CLI-0390</t>
  </si>
  <si>
    <t>ENV-0231</t>
  </si>
  <si>
    <t>Mismo cliente/carrito/monto; primer pedido cercano: PED-0421</t>
  </si>
  <si>
    <t>POSIBLE_DUPLICADO:PED-0457</t>
  </si>
  <si>
    <t>ENV-0232</t>
  </si>
  <si>
    <t>TIC-0114</t>
  </si>
  <si>
    <t>CLI-0391</t>
  </si>
  <si>
    <t>Mismo cliente/carrito/monto; primer pedido cercano: PED-0456</t>
  </si>
  <si>
    <t>POSIBLE_DUPLICADO:PED-0488</t>
  </si>
  <si>
    <t>ENV-0233</t>
  </si>
  <si>
    <t>TIC-0115</t>
  </si>
  <si>
    <t>Mismo cliente/carrito/monto; primer pedido cercano: PED-0487</t>
  </si>
  <si>
    <t>ENV-0234</t>
  </si>
  <si>
    <t>SLA_INCUMPLIDO:TIC-0006</t>
  </si>
  <si>
    <t>CLI-0392</t>
  </si>
  <si>
    <t>SLA_INCUMPLIDO</t>
  </si>
  <si>
    <t>SLA 12 h; apertura 2026-10-10 11:06; primera respuesta 2026-10-11 04:06</t>
  </si>
  <si>
    <t>ENV-0235</t>
  </si>
  <si>
    <t>SLA_INCUMPLIDO:TIC-0007</t>
  </si>
  <si>
    <t>ENV-0236</t>
  </si>
  <si>
    <t>CLI-0393</t>
  </si>
  <si>
    <t>SLA 12 h; apertura 2026-10-10 12:57; primera respuesta SIN RESPUESTA</t>
  </si>
  <si>
    <t>SLA_INCUMPLIDO:TIC-0011</t>
  </si>
  <si>
    <t>ENV-0237</t>
  </si>
  <si>
    <t>SLA 24 h; apertura 2026-10-10 20:21; primera respuesta SIN RESPUESTA</t>
  </si>
  <si>
    <t>ENV-0238</t>
  </si>
  <si>
    <t>SLA_INCUMPLIDO:TIC-0012</t>
  </si>
  <si>
    <t>TIC-0116</t>
  </si>
  <si>
    <t>CLI-0394</t>
  </si>
  <si>
    <t>SLA 12 h; apertura 2026-10-10 22:12; primera respuesta 2026-10-11 15:12</t>
  </si>
  <si>
    <t>ENV-0239</t>
  </si>
  <si>
    <t>SLA_INCUMPLIDO:TIC-0014</t>
  </si>
  <si>
    <t>TIC-0117</t>
  </si>
  <si>
    <t>SLA 12 h; apertura 2026-10-11 01:54; primera respuesta SIN RESPUESTA</t>
  </si>
  <si>
    <t>ENV-0240</t>
  </si>
  <si>
    <t>CLI-0395</t>
  </si>
  <si>
    <t>SLA_INCUMPLIDO:TIC-0018</t>
  </si>
  <si>
    <t>TIC-0118</t>
  </si>
  <si>
    <t>ENV-0241</t>
  </si>
  <si>
    <t>SLA 24 h; apertura 2026-10-11 09:18; primera respuesta 2026-10-12 14:18</t>
  </si>
  <si>
    <t>SLA_INCUMPLIDO:TIC-0021</t>
  </si>
  <si>
    <t>TIC-0119</t>
  </si>
  <si>
    <t>ENV-0242</t>
  </si>
  <si>
    <t>CLI-0396</t>
  </si>
  <si>
    <t>SLA 12 h; apertura 2026-10-11 14:51; primera respuesta SIN RESPUESTA</t>
  </si>
  <si>
    <t>ENV-0243</t>
  </si>
  <si>
    <t>TIC-0120</t>
  </si>
  <si>
    <t>SLA_INCUMPLIDO:TIC-0022</t>
  </si>
  <si>
    <t>ENV-0244</t>
  </si>
  <si>
    <t>CLI-0397</t>
  </si>
  <si>
    <t>SLA 12 h; apertura 2026-10-11 16:42; primera respuesta SIN RESPUESTA</t>
  </si>
  <si>
    <t>SLA_INCUMPLIDO:TIC-0024</t>
  </si>
  <si>
    <t>ENV-0245</t>
  </si>
  <si>
    <t>SLA 12 h; apertura 2026-10-11 20:24; primera respuesta 2026-10-12 13:24</t>
  </si>
  <si>
    <t>SLA_INCUMPLIDO:TIC-0028</t>
  </si>
  <si>
    <t>ENV-0246</t>
  </si>
  <si>
    <t>SLA 12 h; apertura 2026-10-12 03:48; primera respuesta SIN RESPUESTA</t>
  </si>
  <si>
    <t>ENV-0247</t>
  </si>
  <si>
    <t>SLA_INCUMPLIDO:TIC-0030</t>
  </si>
  <si>
    <t>CLI-0399</t>
  </si>
  <si>
    <t>SLA 12 h; apertura 2026-10-12 07:30; primera respuesta 2026-10-13 00:30</t>
  </si>
  <si>
    <t>ENV-0248</t>
  </si>
  <si>
    <t>SLA_INCUMPLIDO:TIC-0033</t>
  </si>
  <si>
    <t>SLA 12 h; apertura 2026-10-12 13:03; primera respuesta SIN RESPUESTA</t>
  </si>
  <si>
    <t>CLI-0400</t>
  </si>
  <si>
    <t>SLA_INCUMPLIDO:TIC-0035</t>
  </si>
  <si>
    <t>ENV-0250</t>
  </si>
  <si>
    <t>SLA 24 h; apertura 2026-10-12 16:45; primera respuesta SIN RESPUESTA</t>
  </si>
  <si>
    <t>ENV-0251</t>
  </si>
  <si>
    <t>SLA_INCUMPLIDO:TIC-0036</t>
  </si>
  <si>
    <t>CLI-0401</t>
  </si>
  <si>
    <t>SLA 4 h; apertura 2026-10-12 18:36; primera respuesta 2026-10-13 03:36</t>
  </si>
  <si>
    <t>ENV-0252</t>
  </si>
  <si>
    <t>SLA_INCUMPLIDO:TIC-0042</t>
  </si>
  <si>
    <t>SLA 4 h; apertura 2026-10-13 05:42; primera respuesta SIN RESPUESTA</t>
  </si>
  <si>
    <t>ENV-0253</t>
  </si>
  <si>
    <t>CLI-0402</t>
  </si>
  <si>
    <t>SLA_INCUMPLIDO:TIC-0044</t>
  </si>
  <si>
    <t>ENV-0254</t>
  </si>
  <si>
    <t>SLA 12 h; apertura 2026-10-13 09:24; primera respuesta SIN RESPUESTA</t>
  </si>
  <si>
    <t>SLA_INCUMPLIDO:TIC-0048</t>
  </si>
  <si>
    <t>CLI-0403</t>
  </si>
  <si>
    <t>ENV-0255</t>
  </si>
  <si>
    <t>SLA 12 h; apertura 2026-10-13 16:48; primera respuesta 2026-10-14 09:48</t>
  </si>
  <si>
    <t>ENV-0256</t>
  </si>
  <si>
    <t>SLA_INCUMPLIDO:TIC-0049</t>
  </si>
  <si>
    <t>SLA 4 h; apertura 2026-10-13 18:39; primera respuesta SIN RESPUESTA</t>
  </si>
  <si>
    <t>CLI-0404</t>
  </si>
  <si>
    <t>SLA_INCUMPLIDO:TIC-0054</t>
  </si>
  <si>
    <t>ENV-0258</t>
  </si>
  <si>
    <t>SLA 24 h; apertura 2026-10-14 03:54; primera respuesta 2026-10-15 08:54</t>
  </si>
  <si>
    <t>SLA_INCUMPLIDO:TIC-0055</t>
  </si>
  <si>
    <t>ENV-0259</t>
  </si>
  <si>
    <t>CLI-0405</t>
  </si>
  <si>
    <t>SLA 12 h; apertura 2026-10-14 05:45; primera respuesta SIN RESPUESTA</t>
  </si>
  <si>
    <t>SLA_INCUMPLIDO:TIC-0056</t>
  </si>
  <si>
    <t>ENV-0260</t>
  </si>
  <si>
    <t>SLA 24 h; apertura 2026-10-14 07:36; primera respuesta SIN RESPUESTA</t>
  </si>
  <si>
    <t>CLI-0406</t>
  </si>
  <si>
    <t>SLA_INCUMPLIDO:TIC-0060</t>
  </si>
  <si>
    <t>ENV-0262</t>
  </si>
  <si>
    <t>SLA 4 h; apertura 2026-10-14 15:00; primera respuesta 2026-10-15 00:00</t>
  </si>
  <si>
    <t>SLA_INCUMPLIDO:TIC-0063</t>
  </si>
  <si>
    <t>ENV-0263</t>
  </si>
  <si>
    <t>CLI-0407</t>
  </si>
  <si>
    <t>SLA 24 h; apertura 2026-10-14 20:33; primera respuesta SIN RESPUESTA</t>
  </si>
  <si>
    <t>ENV-0264</t>
  </si>
  <si>
    <t>SLA_INCUMPLIDO:TIC-0066</t>
  </si>
  <si>
    <t>SLA 4 h; apertura 2026-10-15 02:06; primera respuesta SIN RESPUESTA</t>
  </si>
  <si>
    <t>ENV-0265</t>
  </si>
  <si>
    <t>SLA_INCUMPLIDO:TIC-0070</t>
  </si>
  <si>
    <t>CLI-0408</t>
  </si>
  <si>
    <t>ENV-0266</t>
  </si>
  <si>
    <t>SLA 12 h; apertura 2026-10-15 09:30; primera respuesta SIN RESPUESTA</t>
  </si>
  <si>
    <t>SLA_INCUMPLIDO:TIC-0072</t>
  </si>
  <si>
    <t>ENV-0267</t>
  </si>
  <si>
    <t>SLA 4 h; apertura 2026-10-15 13:12; primera respuesta 2026-10-15 22:12</t>
  </si>
  <si>
    <t>CLI-0409</t>
  </si>
  <si>
    <t>ENV-0268</t>
  </si>
  <si>
    <t>SLA_INCUMPLIDO:TIC-0077</t>
  </si>
  <si>
    <t>SLA 4 h; apertura 2026-10-15 22:27; primera respuesta SIN RESPUESTA</t>
  </si>
  <si>
    <t>ENV-0269</t>
  </si>
  <si>
    <t>SLA_INCUMPLIDO:TIC-0078</t>
  </si>
  <si>
    <t>CLI-0410</t>
  </si>
  <si>
    <t>ENV-0270</t>
  </si>
  <si>
    <t>SLA 4 h; apertura 2026-10-16 00:18; primera respuesta 2026-10-16 09:18</t>
  </si>
  <si>
    <t>SLA_INCUMPLIDO:TIC-0084</t>
  </si>
  <si>
    <t>ENV-0271</t>
  </si>
  <si>
    <t>SLA 4 h; apertura 2026-10-16 11:24; primera respuesta SIN RESPUESTA</t>
  </si>
  <si>
    <t>SLA_INCUMPLIDO:TIC-0088</t>
  </si>
  <si>
    <t>ENV-0272</t>
  </si>
  <si>
    <t>CLI-0411</t>
  </si>
  <si>
    <t>SLA 12 h; apertura 2026-10-16 18:48; primera respuesta SIN RESPUESTA</t>
  </si>
  <si>
    <t>ENV-0273</t>
  </si>
  <si>
    <t>SLA_INCUMPLIDO:TIC-0090</t>
  </si>
  <si>
    <t>SLA 4 h; apertura 2026-10-16 22:30; primera respuesta 2026-10-17 07:30</t>
  </si>
  <si>
    <t>ENV-0274</t>
  </si>
  <si>
    <t>SLA_INCUMPLIDO:TIC-0091</t>
  </si>
  <si>
    <t>CLI-0412</t>
  </si>
  <si>
    <t>SLA 4 h; apertura 2026-10-17 00:21; primera respuesta SIN RESPUESTA</t>
  </si>
  <si>
    <t>ENV-0275</t>
  </si>
  <si>
    <t>SLA_INCUMPLIDO:TIC-0096</t>
  </si>
  <si>
    <t>ENV-0276</t>
  </si>
  <si>
    <t>SLA 12 h; apertura 2026-10-17 09:36; primera respuesta 2026-10-18 02:36</t>
  </si>
  <si>
    <t>SLA_INCUMPLIDO:TIC-0098</t>
  </si>
  <si>
    <t>CLI-0413</t>
  </si>
  <si>
    <t>ENV-0277</t>
  </si>
  <si>
    <t>SLA 4 h; apertura 2026-10-17 13:18; primera respuesta SIN RESPUESTA</t>
  </si>
  <si>
    <t>SLA_INCUMPLIDO:TIC-0099</t>
  </si>
  <si>
    <t>ENV-0278</t>
  </si>
  <si>
    <t>SLA 12 h; apertura 2026-10-17 15:09; primera respuesta SIN RESPUESTA</t>
  </si>
  <si>
    <t>CLI-0414</t>
  </si>
  <si>
    <t>ENV-0279</t>
  </si>
  <si>
    <t>SLA_INCUMPLIDO:TIC-0102</t>
  </si>
  <si>
    <t>SLA 12 h; apertura 2026-10-17 20:42; primera respuesta 2026-10-18 13:42</t>
  </si>
  <si>
    <t>ENV-0280</t>
  </si>
  <si>
    <t>SLA_INCUMPLIDO:TIC-0105</t>
  </si>
  <si>
    <t>CLI-0415</t>
  </si>
  <si>
    <t>ENV-0281</t>
  </si>
  <si>
    <t>SLA 24 h; apertura 2026-10-18 02:15; primera respuesta SIN RESPUESTA</t>
  </si>
  <si>
    <t>SLA_INCUMPLIDO:TIC-0108</t>
  </si>
  <si>
    <t>ENV-0282</t>
  </si>
  <si>
    <t>SLA 4 h; apertura 2026-10-18 07:48; primera respuesta 2026-10-18 16:48</t>
  </si>
  <si>
    <t>CLI-0416</t>
  </si>
  <si>
    <t>SLA_INCUMPLIDO:TIC-0110</t>
  </si>
  <si>
    <t>ENV-0283</t>
  </si>
  <si>
    <t>SLA 12 h; apertura 2026-10-18 11:30; primera respuesta SIN RESPUESTA</t>
  </si>
  <si>
    <t>SLA_INCUMPLIDO:TIC-0112</t>
  </si>
  <si>
    <t>CLI-0417</t>
  </si>
  <si>
    <t>SLA 12 h; apertura 2026-10-18 15:12; primera respuesta SIN RESPUESTA</t>
  </si>
  <si>
    <t>ENV-0285</t>
  </si>
  <si>
    <t>SLA_INCUMPLIDO:TIC-0114</t>
  </si>
  <si>
    <t>ENV-0286</t>
  </si>
  <si>
    <t>SLA 12 h; apertura 2026-10-18 18:54; primera respuesta 2026-10-19 11:54</t>
  </si>
  <si>
    <t>CLI-0418</t>
  </si>
  <si>
    <t>SLA_INCUMPLIDO:TIC-0119</t>
  </si>
  <si>
    <t>ENV-0287</t>
  </si>
  <si>
    <t>SLA 12 h; apertura 2026-10-19 04:09; primera respuesta SIN RESPUESTA</t>
  </si>
  <si>
    <t>ENV-0288</t>
  </si>
  <si>
    <t>CLI-0419</t>
  </si>
  <si>
    <t>SLA_INCUMPLIDO:TIC-0120</t>
  </si>
  <si>
    <t>SLA 12 h; apertura 2026-10-19 06:00; primera respuesta 2026-10-19 23:00</t>
  </si>
  <si>
    <t>ENV-0289</t>
  </si>
  <si>
    <t>CLI-0420</t>
  </si>
  <si>
    <t>ENV-0290</t>
  </si>
  <si>
    <t>ENV-0291</t>
  </si>
  <si>
    <t>CLI-0421</t>
  </si>
  <si>
    <t>ENV-0293</t>
  </si>
  <si>
    <t>ENV-0294</t>
  </si>
  <si>
    <t>ENV-0295</t>
  </si>
  <si>
    <t>CLI-0423</t>
  </si>
  <si>
    <t>ENV-0296</t>
  </si>
  <si>
    <t>CLI-0424</t>
  </si>
  <si>
    <t>ENV-0298</t>
  </si>
  <si>
    <t>ENV-0299</t>
  </si>
  <si>
    <t>ENV-0300</t>
  </si>
  <si>
    <t>ENV-0301</t>
  </si>
  <si>
    <t>ENV-0302</t>
  </si>
  <si>
    <t>CLI-0425</t>
  </si>
  <si>
    <t>ENV-0303</t>
  </si>
  <si>
    <t>CLI-0426</t>
  </si>
  <si>
    <t>ENV-0304</t>
  </si>
  <si>
    <t>CLI-0427</t>
  </si>
  <si>
    <t>ENV-0306</t>
  </si>
  <si>
    <t>ENV-0307</t>
  </si>
  <si>
    <t>CLI-0428</t>
  </si>
  <si>
    <t>ENV-0308</t>
  </si>
  <si>
    <t>ENV-0309</t>
  </si>
  <si>
    <t>CLI-0429</t>
  </si>
  <si>
    <t>ENV-0310</t>
  </si>
  <si>
    <t>ENV-0311</t>
  </si>
  <si>
    <t>CLI-0430</t>
  </si>
  <si>
    <t>ENV-0312</t>
  </si>
  <si>
    <t>ENV-0313</t>
  </si>
  <si>
    <t>CLI-0431</t>
  </si>
  <si>
    <t>ENV-0314</t>
  </si>
  <si>
    <t>CLI-0432</t>
  </si>
  <si>
    <t>ENV-0316</t>
  </si>
  <si>
    <t>ENV-0317</t>
  </si>
  <si>
    <t>CLI-0433</t>
  </si>
  <si>
    <t>ENV-0318</t>
  </si>
  <si>
    <t>ENV-0319</t>
  </si>
  <si>
    <t>CLI-0434</t>
  </si>
  <si>
    <t>ENV-0320</t>
  </si>
  <si>
    <t>ENV-0321</t>
  </si>
  <si>
    <t>CLI-0435</t>
  </si>
  <si>
    <t>ENV-0322</t>
  </si>
  <si>
    <t>ENV-0323</t>
  </si>
  <si>
    <t>CLI-0436</t>
  </si>
  <si>
    <t>ENV-0324</t>
  </si>
  <si>
    <t>ENV-0325</t>
  </si>
  <si>
    <t>CLI-0437</t>
  </si>
  <si>
    <t>ENV-0326</t>
  </si>
  <si>
    <t>CLI-0438</t>
  </si>
  <si>
    <t>ENV-0328</t>
  </si>
  <si>
    <t>ENV-0329</t>
  </si>
  <si>
    <t>CLI-0439</t>
  </si>
  <si>
    <t>ENV-0330</t>
  </si>
  <si>
    <t>ENV-0331</t>
  </si>
  <si>
    <t>CLI-0440</t>
  </si>
  <si>
    <t>ENV-0332</t>
  </si>
  <si>
    <t>ENV-0333</t>
  </si>
  <si>
    <t>CLI-0441</t>
  </si>
  <si>
    <t>ENV-0334</t>
  </si>
  <si>
    <t>ENV-0335</t>
  </si>
  <si>
    <t>CLI-0442</t>
  </si>
  <si>
    <t>ENV-0336</t>
  </si>
  <si>
    <t>CLI-0443</t>
  </si>
  <si>
    <t>ENV-0337</t>
  </si>
  <si>
    <t>ENV-0338</t>
  </si>
  <si>
    <t>CLI-0444</t>
  </si>
  <si>
    <t>ENV-0339</t>
  </si>
  <si>
    <t>ENV-0340</t>
  </si>
  <si>
    <t>CLI-0445</t>
  </si>
  <si>
    <t>ENV-0341</t>
  </si>
  <si>
    <t>ENV-0342</t>
  </si>
  <si>
    <t>CLI-0446</t>
  </si>
  <si>
    <t>ENV-0343</t>
  </si>
  <si>
    <t>ENV-0344</t>
  </si>
  <si>
    <t>CLI-0447</t>
  </si>
  <si>
    <t>ENV-0345</t>
  </si>
  <si>
    <t>CLI-0448</t>
  </si>
  <si>
    <t>ENV-0347</t>
  </si>
  <si>
    <t>CLI-0449</t>
  </si>
  <si>
    <t>ENV-0348</t>
  </si>
  <si>
    <t>CLI-0450</t>
  </si>
  <si>
    <t>ENV-0349</t>
  </si>
  <si>
    <t>ENV-0350</t>
  </si>
  <si>
    <t>CLI-0451</t>
  </si>
  <si>
    <t>ENV-0351</t>
  </si>
  <si>
    <t>CLI-0452</t>
  </si>
  <si>
    <t>ENV-0353</t>
  </si>
  <si>
    <t>CLI-0453</t>
  </si>
  <si>
    <t>ENV-0354</t>
  </si>
  <si>
    <t>CLI-0454</t>
  </si>
  <si>
    <t>ENV-0355</t>
  </si>
  <si>
    <t>ENV-0356</t>
  </si>
  <si>
    <t>CLI-0455</t>
  </si>
  <si>
    <t>ENV-0357</t>
  </si>
  <si>
    <t>CLI-0456</t>
  </si>
  <si>
    <t>ENV-0358</t>
  </si>
  <si>
    <t>ENV-0360</t>
  </si>
  <si>
    <t>CLI-0458</t>
  </si>
  <si>
    <t>ENV-0361</t>
  </si>
  <si>
    <t>ENV-0362</t>
  </si>
  <si>
    <t>CLI-0459</t>
  </si>
  <si>
    <t>ENV-0363</t>
  </si>
  <si>
    <t>CLI-0460</t>
  </si>
  <si>
    <t>ENV-0364</t>
  </si>
  <si>
    <t>CLI-0461</t>
  </si>
  <si>
    <t>ENV-0365</t>
  </si>
  <si>
    <t>ENV-0366</t>
  </si>
  <si>
    <t>CLI-0462</t>
  </si>
  <si>
    <t>ENV-0367</t>
  </si>
  <si>
    <t>CLI-0463</t>
  </si>
  <si>
    <t>ENV-0368</t>
  </si>
  <si>
    <t>ENV-0369</t>
  </si>
  <si>
    <t>CLI-0464</t>
  </si>
  <si>
    <t>ENV-0370</t>
  </si>
  <si>
    <t>ENV-0371</t>
  </si>
  <si>
    <t>CLI-0465</t>
  </si>
  <si>
    <t>ENV-0372</t>
  </si>
  <si>
    <t>ENV-0373</t>
  </si>
  <si>
    <t>CLI-0466</t>
  </si>
  <si>
    <t>ENV-0375</t>
  </si>
  <si>
    <t>ENV-0376</t>
  </si>
  <si>
    <t>CLI-0467</t>
  </si>
  <si>
    <t>ENV-0377</t>
  </si>
  <si>
    <t>ENV-0378</t>
  </si>
  <si>
    <t>CLI-0468</t>
  </si>
  <si>
    <t>ENV-0379</t>
  </si>
  <si>
    <t>ENV-0380</t>
  </si>
  <si>
    <t>ENV-0381</t>
  </si>
  <si>
    <t>CLI-0469</t>
  </si>
  <si>
    <t>ENV-0382</t>
  </si>
  <si>
    <t>ENV-0383</t>
  </si>
  <si>
    <t>CLI-0470</t>
  </si>
  <si>
    <t>CLI-0471</t>
  </si>
  <si>
    <t>ENV-0384</t>
  </si>
  <si>
    <t>CLI-0472</t>
  </si>
  <si>
    <t>ENV-0386</t>
  </si>
  <si>
    <t>CLI-0473</t>
  </si>
  <si>
    <t>ENV-0387</t>
  </si>
  <si>
    <t>ENV-0388</t>
  </si>
  <si>
    <t>CLI-0474</t>
  </si>
  <si>
    <t>ENV-0389</t>
  </si>
  <si>
    <t>ENV-0390</t>
  </si>
  <si>
    <t>CLI-0475</t>
  </si>
  <si>
    <t>ENV-0391</t>
  </si>
  <si>
    <t>ENV-0392</t>
  </si>
  <si>
    <t>CLI-0476</t>
  </si>
  <si>
    <t>ENV-0393</t>
  </si>
  <si>
    <t>ENV-0394</t>
  </si>
  <si>
    <t>CLI-0477</t>
  </si>
  <si>
    <t>ENV-0395</t>
  </si>
  <si>
    <t>CLI-0478</t>
  </si>
  <si>
    <t>ENV-0396</t>
  </si>
  <si>
    <t>CLI-0479</t>
  </si>
  <si>
    <t>ENV-0397</t>
  </si>
  <si>
    <t>ENV-0398</t>
  </si>
  <si>
    <t>CLI-0480</t>
  </si>
  <si>
    <t>ENV-0399</t>
  </si>
  <si>
    <t>ENV-0400</t>
  </si>
  <si>
    <t>CLI-0481</t>
  </si>
  <si>
    <t>ENV-0401</t>
  </si>
  <si>
    <t>ENV-0402</t>
  </si>
  <si>
    <t>CLI-0482</t>
  </si>
  <si>
    <t>ENV-0403</t>
  </si>
  <si>
    <t>ENV-0404</t>
  </si>
  <si>
    <t>CLI-0483</t>
  </si>
  <si>
    <t>ENV-0405</t>
  </si>
  <si>
    <t>CLI-0484</t>
  </si>
  <si>
    <t>ENV-0406</t>
  </si>
  <si>
    <t>ENV-0407</t>
  </si>
  <si>
    <t>PARÁMETROS Y CRITERIOS</t>
  </si>
  <si>
    <t>CLI-0485</t>
  </si>
  <si>
    <t>Parámetro</t>
  </si>
  <si>
    <t>CLI-0486</t>
  </si>
  <si>
    <t>ENV-0410</t>
  </si>
  <si>
    <t>ENV-0411</t>
  </si>
  <si>
    <t>CLI-0487</t>
  </si>
  <si>
    <t>Valor</t>
  </si>
  <si>
    <t>ENV-0412</t>
  </si>
  <si>
    <t>ENV-0413</t>
  </si>
  <si>
    <t>ENV-0414</t>
  </si>
  <si>
    <t>ENV-0415</t>
  </si>
  <si>
    <t>Fecha de corte</t>
  </si>
  <si>
    <t>CLI-0489</t>
  </si>
  <si>
    <t>2026-10-21</t>
  </si>
  <si>
    <t>ENV-0416</t>
  </si>
  <si>
    <t>Ventana duplicado (minutos)</t>
  </si>
  <si>
    <t>ENV-0417</t>
  </si>
  <si>
    <t>Tickets SLA ALTA (h)</t>
  </si>
  <si>
    <t>CLI-0490</t>
  </si>
  <si>
    <t>Tickets SLA MEDIA (h)</t>
  </si>
  <si>
    <t>ENV-0418</t>
  </si>
  <si>
    <t>Tickets SLA BAJA (h)</t>
  </si>
  <si>
    <t>Moneda</t>
  </si>
  <si>
    <t>CLI-0491</t>
  </si>
  <si>
    <t>CLP</t>
  </si>
  <si>
    <t>ENV-0420</t>
  </si>
  <si>
    <t>Naturaleza de los datos</t>
  </si>
  <si>
    <t>FICTICIOS / DEMOSTRACIÓN</t>
  </si>
  <si>
    <t>ENV-0421</t>
  </si>
  <si>
    <t>Los informes son generados por Python. La planilla es una foto fija, sin sincronización automática.</t>
  </si>
  <si>
    <t>CLI-0492</t>
  </si>
  <si>
    <t>ENV-0422</t>
  </si>
  <si>
    <t>ENV-0423</t>
  </si>
  <si>
    <t>CLI-0493</t>
  </si>
  <si>
    <t>ENV-0424</t>
  </si>
  <si>
    <t>CLI-0494</t>
  </si>
  <si>
    <t>ENV-0425</t>
  </si>
  <si>
    <t>ENV-0426</t>
  </si>
  <si>
    <t>CLI-0495</t>
  </si>
  <si>
    <t>ENV-0427</t>
  </si>
  <si>
    <t>ENV-0428</t>
  </si>
  <si>
    <t>CLI-0496</t>
  </si>
  <si>
    <t>ENV-0429</t>
  </si>
  <si>
    <t>ENV-0430</t>
  </si>
  <si>
    <t>CLI-0497</t>
  </si>
  <si>
    <t>ENV-0432</t>
  </si>
  <si>
    <t>CLI-0498</t>
  </si>
  <si>
    <t>ENV-0433</t>
  </si>
  <si>
    <t>ENV-0434</t>
  </si>
  <si>
    <t>CLI-0499</t>
  </si>
  <si>
    <t>ENV-0435</t>
  </si>
  <si>
    <t>ENV-0436</t>
  </si>
  <si>
    <t>CLI-0500</t>
  </si>
  <si>
    <t>ENV-0437</t>
  </si>
  <si>
    <t>ENV-0438</t>
  </si>
  <si>
    <t>ENV-0439</t>
  </si>
  <si>
    <t>ENV-0440</t>
  </si>
  <si>
    <t>ENV-0441</t>
  </si>
  <si>
    <t>ENV-0442</t>
  </si>
  <si>
    <t>ENV-0443</t>
  </si>
  <si>
    <t>ENV-0444</t>
  </si>
  <si>
    <t>ENV-0445</t>
  </si>
  <si>
    <t>ENV-0446</t>
  </si>
  <si>
    <t>ENV-0447</t>
  </si>
  <si>
    <t>ENV-0448</t>
  </si>
  <si>
    <t>GUÍA DE LECTURA</t>
  </si>
  <si>
    <t>ENV-0449</t>
  </si>
  <si>
    <t>ENV-0451</t>
  </si>
  <si>
    <t>ENV-0452</t>
  </si>
  <si>
    <t>ENV-0455</t>
  </si>
  <si>
    <t>Sección</t>
  </si>
  <si>
    <t>ENV-0456</t>
  </si>
  <si>
    <t>Qué contiene</t>
  </si>
  <si>
    <t>ENV-0458</t>
  </si>
  <si>
    <t>ENV-0459</t>
  </si>
  <si>
    <t>Panel</t>
  </si>
  <si>
    <t>Métricas operativas, distribución y gráficos</t>
  </si>
  <si>
    <t>ENV-0461</t>
  </si>
  <si>
    <t>Resumen_cruzado</t>
  </si>
  <si>
    <t>Matriz regional por categoría; cálculos actualizables por fórmulas</t>
  </si>
  <si>
    <t>ENV-0462</t>
  </si>
  <si>
    <t>Pedidos / Pagos / Envios / Tickets</t>
  </si>
  <si>
    <t>Registros sintéticos para búsqueda e investigación</t>
  </si>
  <si>
    <t>ENV-0463</t>
  </si>
  <si>
    <t>Incidencias</t>
  </si>
  <si>
    <t>Hallazgos detectados al corte de la simulación</t>
  </si>
  <si>
    <t>ENV-0464</t>
  </si>
  <si>
    <t>2026-10-21 (ver Parametros)</t>
  </si>
  <si>
    <t>Actualizar informes</t>
  </si>
  <si>
    <t>ENV-0465</t>
  </si>
  <si>
    <t>Ejecutar: python scripts/analizar.py --as-of 2026-10-21</t>
  </si>
  <si>
    <t>Actualizar la planilla</t>
  </si>
  <si>
    <t>Reimportar reports/incidencias.csv tras cada análisis</t>
  </si>
  <si>
    <t>ENV-0466</t>
  </si>
  <si>
    <t>Tabla dinámica nativa</t>
  </si>
  <si>
    <t>En Google Sheets: seleccionar Pedidos!A1:I501 → Insertar → Tabla dinámica</t>
  </si>
  <si>
    <t>ENV-0467</t>
  </si>
  <si>
    <t>ENV-0471</t>
  </si>
  <si>
    <t>ENV-0472</t>
  </si>
  <si>
    <t>ENV-0473</t>
  </si>
  <si>
    <t>ENV-0475</t>
  </si>
  <si>
    <t>ENV-0476</t>
  </si>
  <si>
    <t>ENV-0478</t>
  </si>
  <si>
    <t>ENV-0479</t>
  </si>
  <si>
    <t>ENV-0480</t>
  </si>
  <si>
    <t>ENV-0481</t>
  </si>
  <si>
    <t>ENV-0482</t>
  </si>
  <si>
    <t>ENV-0483</t>
  </si>
  <si>
    <t>ENV-0484</t>
  </si>
  <si>
    <t>ENV-0485</t>
  </si>
  <si>
    <t>ENV-0486</t>
  </si>
  <si>
    <t>ENV-0487</t>
  </si>
  <si>
    <t>ENV-0488</t>
  </si>
  <si>
    <t>ENV-0489</t>
  </si>
  <si>
    <t>ENV-0490</t>
  </si>
  <si>
    <t>ENV-0491</t>
  </si>
  <si>
    <t>ENV-0493</t>
  </si>
  <si>
    <t>ENV-0494</t>
  </si>
  <si>
    <t>ENV-0495</t>
  </si>
  <si>
    <t>ENV-0496</t>
  </si>
  <si>
    <t>ENV-0497</t>
  </si>
  <si>
    <t>ENV-0498</t>
  </si>
  <si>
    <t>ENV-0499</t>
  </si>
  <si>
    <t>ENV-0500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</si>
</sst>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"/>
    <numFmt numFmtId="165" formatCode="&quot;$&quot;#,##0"/>
    <numFmt numFmtId="166" formatCode="yyyy-mm-dd"/>
  </numFmts>
  <fonts count="16">
    <font>
      <sz val="11.0"/>
      <color rgb="FF000000"/>
      <name val="Carlito"/>
      <scheme val="minor"/>
    </font>
    <font>
      <b/>
      <sz val="18.0"/>
      <color rgb="FFFFFFFF"/>
      <name val="Carlito"/>
    </font>
    <font>
      <b/>
      <sz val="11.0"/>
      <color rgb="FFFFFFFF"/>
      <name val="Carlito"/>
    </font>
    <font>
      <sz val="11.0"/>
      <color rgb="FF557367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9.0"/>
      <color rgb="FFFFFFFF"/>
      <name val="Carlito"/>
    </font>
    <font>
      <sz val="10.0"/>
      <color rgb="FF557367"/>
      <name val="Carlito"/>
    </font>
    <font>
      <b/>
      <sz val="10.0"/>
      <color rgb="FFFFFFFF"/>
      <name val="Carlito"/>
    </font>
    <font>
      <b/>
      <sz val="11.0"/>
      <color rgb="FF18382D"/>
      <name val="Carlito"/>
    </font>
    <font>
      <b/>
      <sz val="19.0"/>
      <color rgb="FF18382D"/>
      <name val="Carlito"/>
    </font>
    <font>
      <b/>
      <sz val="13.0"/>
      <color rgb="FF18382D"/>
      <name val="Carlito"/>
    </font>
    <font>
      <b/>
      <sz val="10.0"/>
      <color rgb="FF557367"/>
      <name val="Carlito"/>
    </font>
    <font>
      <b/>
      <sz val="18.0"/>
      <color rgb="FF18382D"/>
      <name val="Carlito"/>
    </font>
    <font>
      <sz val="10.0"/>
      <color rgb="FF18382D"/>
      <name val="Carlito"/>
    </font>
    <font>
      <sz val="11.0"/>
      <color rgb="FF18382D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53E33"/>
        <bgColor rgb="FF153E33"/>
      </patternFill>
    </fill>
    <fill>
      <patternFill patternType="solid">
        <fgColor rgb="FF256950"/>
        <bgColor rgb="FF256950"/>
      </patternFill>
    </fill>
    <fill>
      <patternFill patternType="solid">
        <fgColor rgb="FFEFF6F1"/>
        <bgColor rgb="FFEFF6F1"/>
      </patternFill>
    </fill>
    <fill>
      <patternFill patternType="solid">
        <fgColor rgb="FFD9F1E0"/>
        <bgColor rgb="FFD9F1E0"/>
      </patternFill>
    </fill>
    <fill>
      <patternFill patternType="solid">
        <fgColor rgb="FFFFFFFF"/>
        <bgColor rgb="FFFFFFFF"/>
      </patternFill>
    </fill>
    <fill>
      <patternFill patternType="solid">
        <fgColor rgb="FFDDE9E0"/>
        <bgColor rgb="FFDDE9E0"/>
      </patternFill>
    </fill>
    <fill>
      <patternFill patternType="solid">
        <fgColor rgb="FFFFF1D4"/>
        <bgColor rgb="FFFFF1D4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Font="1"/>
    <xf borderId="0" fillId="3" fontId="2" numFmtId="0" xfId="0" applyAlignment="1" applyFill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5" numFmtId="164" xfId="0" applyFont="1" applyNumberFormat="1"/>
    <xf borderId="0" fillId="0" fontId="5" numFmtId="165" xfId="0" applyFont="1" applyNumberFormat="1"/>
    <xf borderId="0" fillId="2" fontId="6" numFmtId="0" xfId="0" applyAlignment="1" applyFill="1" applyFont="1">
      <alignment vertical="center"/>
    </xf>
    <xf borderId="0" fillId="4" fontId="7" numFmtId="0" xfId="0" applyFill="1" applyFont="1"/>
    <xf borderId="0" fillId="4" fontId="5" numFmtId="0" xfId="0" applyFill="1" applyFont="1"/>
    <xf borderId="0" fillId="3" fontId="8" numFmtId="0" xfId="0" applyAlignment="1" applyFill="1" applyFont="1">
      <alignment horizontal="center" vertical="center"/>
    </xf>
    <xf borderId="0" fillId="5" fontId="9" numFmtId="0" xfId="0" applyFill="1" applyFont="1"/>
    <xf borderId="0" fillId="6" fontId="10" numFmtId="3" xfId="0" applyAlignment="1" applyFill="1" applyFont="1" applyNumberFormat="1">
      <alignment horizontal="center" vertical="center"/>
    </xf>
    <xf borderId="0" fillId="6" fontId="10" numFmtId="165" xfId="0" applyAlignment="1" applyFill="1" applyFont="1" applyNumberFormat="1">
      <alignment horizontal="center" vertical="center"/>
    </xf>
    <xf borderId="0" fillId="4" fontId="11" numFmtId="0" xfId="0" applyFill="1" applyFont="1"/>
    <xf borderId="0" fillId="7" fontId="12" numFmtId="0" xfId="0" applyAlignment="1" applyFill="1" applyFont="1">
      <alignment horizontal="center"/>
    </xf>
    <xf borderId="0" fillId="6" fontId="13" numFmtId="0" xfId="0" applyAlignment="1" applyFill="1" applyFont="1">
      <alignment horizontal="center" vertical="center"/>
    </xf>
    <xf borderId="0" fillId="2" fontId="2" numFmtId="0" xfId="0" applyFill="1" applyFont="1"/>
    <xf borderId="0" fillId="4" fontId="5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/>
    </xf>
    <xf borderId="0" fillId="4" fontId="5" numFmtId="165" xfId="0" applyFill="1" applyFont="1" applyNumberFormat="1"/>
    <xf borderId="0" fillId="4" fontId="5" numFmtId="9" xfId="0" applyFill="1" applyFont="1" applyNumberFormat="1"/>
    <xf borderId="0" fillId="5" fontId="9" numFmtId="165" xfId="0" applyFill="1" applyFont="1" applyNumberFormat="1"/>
    <xf borderId="0" fillId="7" fontId="14" numFmtId="0" xfId="0" applyAlignment="1" applyFill="1" applyFont="1">
      <alignment vertical="center"/>
    </xf>
    <xf borderId="0" fillId="0" fontId="5" numFmtId="166" xfId="0" applyFont="1" applyNumberFormat="1"/>
    <xf borderId="0" fillId="0" fontId="5" numFmtId="0" xfId="0" applyAlignment="1" applyFont="1">
      <alignment shrinkToFit="0" wrapText="1"/>
    </xf>
    <xf borderId="0" fillId="3" fontId="2" numFmtId="0" xfId="0" applyAlignment="1" applyFill="1" applyFont="1">
      <alignment horizontal="center"/>
    </xf>
    <xf borderId="0" fillId="8" fontId="15" numFmtId="0" xfId="0" applyFill="1" applyFont="1"/>
    <xf borderId="0" fillId="2" fontId="1" numFmtId="0" xfId="0" applyFill="1" applyFont="1"/>
  </cellXfs>
  <cellStyles count="1">
    <cellStyle xfId="0" name="Normal" builtinId="0"/>
  </cellStyles>
  <dxfs count="2">
    <dxf>
      <font/>
      <fill>
        <patternFill patternType="solid">
          <fgColor rgb="FFFDE4DF"/>
          <bgColor rgb="FFFDE4DF"/>
        </patternFill>
      </fill>
      <border/>
    </dxf>
    <dxf>
      <font/>
      <fill>
        <patternFill patternType="solid">
          <fgColor rgb="FFD9F1E0"/>
          <bgColor rgb="FFD9F1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Pedidos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Panel!$R$17:$R$23</c:f>
            </c:strRef>
          </c:cat>
          <c:val>
            <c:numRef>
              <c:f>Panel!$S$17:$S$23</c:f>
              <c:numCache/>
            </c:numRef>
          </c:val>
        </c:ser>
        <c:axId val="1927062365"/>
        <c:axId val="1035636158"/>
      </c:barChart>
      <c:catAx>
        <c:axId val="1927062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636158"/>
      </c:catAx>
      <c:valAx>
        <c:axId val="1035636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06236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Detectadas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Panel!$H$17:$H$20</c:f>
            </c:strRef>
          </c:cat>
          <c:val>
            <c:numRef>
              <c:f>Panel!$I$17:$I$20</c:f>
              <c:numCache/>
            </c:numRef>
          </c:val>
        </c:ser>
        <c:axId val="2031425491"/>
        <c:axId val="821603364"/>
      </c:barChart>
      <c:catAx>
        <c:axId val="2031425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603364"/>
      </c:catAx>
      <c:valAx>
        <c:axId val="821603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4254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6705600" cy="3000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24</xdr:row>
      <xdr:rowOff>0</xdr:rowOff>
    </xdr:from>
    <xdr:ext cx="5867400" cy="3000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11.0"/>
    <col customWidth="1" min="16" max="17" width="8.63"/>
    <col customWidth="1" min="18" max="18" width="15.13"/>
    <col customWidth="1" min="19" max="26" width="8.63"/>
  </cols>
  <sheetData>
    <row r="1" ht="24.75" customHeight="1">
      <c r="A1" s="10" t="s">
        <v>423</v>
      </c>
    </row>
    <row r="2" ht="24.75" customHeight="1"/>
    <row r="3" ht="27.0" customHeight="1">
      <c r="A3" s="11" t="s">
        <v>435</v>
      </c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ht="30.75" customHeight="1">
      <c r="A5" s="13" t="s">
        <v>452</v>
      </c>
      <c r="D5" s="13" t="s">
        <v>455</v>
      </c>
      <c r="G5" s="13" t="s">
        <v>457</v>
      </c>
      <c r="J5" s="13" t="s">
        <v>460</v>
      </c>
      <c r="M5" s="13" t="s">
        <v>462</v>
      </c>
    </row>
    <row r="6">
      <c r="A6" s="15">
        <f>COUNTA(Pedidos!$A$2:$A$501)</f>
        <v>500</v>
      </c>
      <c r="D6" s="16">
        <f>SUM(Pedidos!$G$2:$G$501)</f>
        <v>12057790</v>
      </c>
      <c r="G6" s="15">
        <f>COUNTIF(Incidencias!$G$2:$G$126,"ABIERTO")</f>
        <v>125</v>
      </c>
      <c r="J6" s="15">
        <f>COUNTIF(Incidencias!$G$2:$G$126,"RESUELTO")</f>
        <v>0</v>
      </c>
      <c r="M6" s="15">
        <f>COUNTIF(Envios!$E$2:$E$501,"ENTREGADO")</f>
        <v>414</v>
      </c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30.0" customHeight="1">
      <c r="A10" s="17" t="s">
        <v>522</v>
      </c>
    </row>
    <row r="11" ht="24.75" customHeight="1">
      <c r="A11" s="18" t="s">
        <v>528</v>
      </c>
      <c r="D11" s="18" t="s">
        <v>530</v>
      </c>
      <c r="G11" s="18" t="s">
        <v>533</v>
      </c>
      <c r="J11" s="18" t="s">
        <v>534</v>
      </c>
      <c r="M11" s="18" t="s">
        <v>537</v>
      </c>
    </row>
    <row r="12">
      <c r="A12" s="19">
        <f>COUNTIF(Incidencias!$B$2:$B$126,"POSIBLE_DUPLICADO")</f>
        <v>14</v>
      </c>
      <c r="D12" s="19">
        <f>COUNTIF(Incidencias!$B$2:$B$126,"PAGO_DIFERENTE")</f>
        <v>16</v>
      </c>
      <c r="G12" s="19">
        <f>COUNTIF(Incidencias!$B$2:$B$126,"ENVIO_ATRASADO")</f>
        <v>52</v>
      </c>
      <c r="J12" s="19">
        <f>COUNTIF(Incidencias!$B$2:$B$126,"SLA_INCUMPLIDO")</f>
        <v>43</v>
      </c>
      <c r="M12" s="19">
        <f>COUNTIF(Pagos!$D$2:$D$501,"PENDIENTE")</f>
        <v>10</v>
      </c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27.0" customHeight="1">
      <c r="A15" s="20" t="s">
        <v>577</v>
      </c>
      <c r="H15" s="20" t="s">
        <v>581</v>
      </c>
    </row>
    <row r="16" ht="24.0" customHeight="1">
      <c r="A16" s="4" t="s">
        <v>583</v>
      </c>
      <c r="B16" s="4" t="s">
        <v>586</v>
      </c>
      <c r="C16" s="4" t="s">
        <v>587</v>
      </c>
      <c r="D16" s="4" t="s">
        <v>588</v>
      </c>
      <c r="E16" s="21"/>
      <c r="F16" s="21"/>
      <c r="G16" s="21"/>
      <c r="H16" s="4" t="s">
        <v>591</v>
      </c>
      <c r="I16" s="4" t="s">
        <v>593</v>
      </c>
      <c r="J16" s="4" t="s">
        <v>596</v>
      </c>
      <c r="K16" s="4" t="s">
        <v>597</v>
      </c>
      <c r="L16" s="22"/>
      <c r="M16" s="22"/>
      <c r="N16" s="22"/>
      <c r="O16" s="22"/>
      <c r="P16" s="5"/>
      <c r="Q16" s="5"/>
      <c r="R16" s="5" t="s">
        <v>601</v>
      </c>
      <c r="S16" s="5" t="s">
        <v>452</v>
      </c>
      <c r="T16" s="5"/>
      <c r="U16" s="5"/>
      <c r="V16" s="5"/>
      <c r="W16" s="5"/>
      <c r="X16" s="5"/>
      <c r="Y16" s="5"/>
      <c r="Z16" s="5"/>
    </row>
    <row r="17">
      <c r="A17" s="12" t="s">
        <v>31</v>
      </c>
      <c r="B17" s="12">
        <f>COUNTIF(Pedidos!$H$2:$H$501,A17)</f>
        <v>91</v>
      </c>
      <c r="C17" s="23">
        <f>SUMIF(Pedidos!$H$2:$H$501,A17,Pedidos!$G$2:$G$501)</f>
        <v>2019960</v>
      </c>
      <c r="D17" s="24">
        <f t="shared" ref="D17:D22" si="2">B17/$A$6</f>
        <v>0.182</v>
      </c>
      <c r="E17" s="12"/>
      <c r="F17" s="12"/>
      <c r="G17" s="12"/>
      <c r="H17" s="12" t="s">
        <v>675</v>
      </c>
      <c r="I17" s="12">
        <f>COUNTIF(Incidencias!$B$2:$B$126,"POSIBLE_DUPLICADO")</f>
        <v>14</v>
      </c>
      <c r="J17" s="12">
        <f>COUNTIFS(Incidencias!$B$2:$B$126,"POSIBLE_DUPLICADO",Incidencias!$G$2:$G$126,"ABIERTO")</f>
        <v>14</v>
      </c>
      <c r="K17" s="12">
        <f>COUNTIFS(Incidencias!$B$2:$B$126,"POSIBLE_DUPLICADO",Incidencias!$G$2:$G$126,"RESUELTO")</f>
        <v>0</v>
      </c>
      <c r="L17" s="12"/>
      <c r="M17" s="12"/>
      <c r="N17" s="12"/>
      <c r="O17" s="12"/>
      <c r="R17" s="6" t="str">
        <f t="shared" ref="R17:S17" si="1">A17</f>
        <v>Biobío</v>
      </c>
      <c r="S17" s="6">
        <f t="shared" si="1"/>
        <v>91</v>
      </c>
    </row>
    <row r="18">
      <c r="A18" s="12" t="s">
        <v>38</v>
      </c>
      <c r="B18" s="12">
        <f>COUNTIF(Pedidos!$H$2:$H$501,A18)</f>
        <v>80</v>
      </c>
      <c r="C18" s="23">
        <f>SUMIF(Pedidos!$H$2:$H$501,A18,Pedidos!$G$2:$G$501)</f>
        <v>1975010</v>
      </c>
      <c r="D18" s="24">
        <f t="shared" si="2"/>
        <v>0.16</v>
      </c>
      <c r="E18" s="12"/>
      <c r="F18" s="12"/>
      <c r="G18" s="12"/>
      <c r="H18" s="12" t="s">
        <v>754</v>
      </c>
      <c r="I18" s="12">
        <f>COUNTIF(Incidencias!$B$2:$B$126,"PAGO_DIFERENTE")</f>
        <v>16</v>
      </c>
      <c r="J18" s="12">
        <f>COUNTIFS(Incidencias!$B$2:$B$126,"PAGO_DIFERENTE",Incidencias!$G$2:$G$126,"ABIERTO")</f>
        <v>16</v>
      </c>
      <c r="K18" s="12">
        <f>COUNTIFS(Incidencias!$B$2:$B$126,"PAGO_DIFERENTE",Incidencias!$G$2:$G$126,"RESUELTO")</f>
        <v>0</v>
      </c>
      <c r="L18" s="12"/>
      <c r="M18" s="12"/>
      <c r="N18" s="12"/>
      <c r="O18" s="12"/>
      <c r="R18" s="6" t="str">
        <f t="shared" ref="R18:S18" si="3">A18</f>
        <v>Coquimbo</v>
      </c>
      <c r="S18" s="6">
        <f t="shared" si="3"/>
        <v>80</v>
      </c>
    </row>
    <row r="19">
      <c r="A19" s="12" t="s">
        <v>51</v>
      </c>
      <c r="B19" s="12">
        <f>COUNTIF(Pedidos!$H$2:$H$501,A19)</f>
        <v>85</v>
      </c>
      <c r="C19" s="23">
        <f>SUMIF(Pedidos!$H$2:$H$501,A19,Pedidos!$G$2:$G$501)</f>
        <v>2055930</v>
      </c>
      <c r="D19" s="24">
        <f t="shared" si="2"/>
        <v>0.17</v>
      </c>
      <c r="E19" s="12"/>
      <c r="F19" s="12"/>
      <c r="G19" s="12"/>
      <c r="H19" s="12" t="s">
        <v>816</v>
      </c>
      <c r="I19" s="12">
        <f>COUNTIF(Incidencias!$B$2:$B$126,"ENVIO_ATRASADO")</f>
        <v>52</v>
      </c>
      <c r="J19" s="12">
        <f>COUNTIFS(Incidencias!$B$2:$B$126,"ENVIO_ATRASADO",Incidencias!$G$2:$G$126,"ABIERTO")</f>
        <v>52</v>
      </c>
      <c r="K19" s="12">
        <f>COUNTIFS(Incidencias!$B$2:$B$126,"ENVIO_ATRASADO",Incidencias!$G$2:$G$126,"RESUELTO")</f>
        <v>0</v>
      </c>
      <c r="L19" s="12"/>
      <c r="M19" s="12"/>
      <c r="N19" s="12"/>
      <c r="O19" s="12"/>
      <c r="R19" s="6" t="str">
        <f t="shared" ref="R19:S19" si="4">A19</f>
        <v>Los Lagos</v>
      </c>
      <c r="S19" s="6">
        <f t="shared" si="4"/>
        <v>85</v>
      </c>
    </row>
    <row r="20">
      <c r="A20" s="12" t="s">
        <v>47</v>
      </c>
      <c r="B20" s="12">
        <f>COUNTIF(Pedidos!$H$2:$H$501,A20)</f>
        <v>80</v>
      </c>
      <c r="C20" s="23">
        <f>SUMIF(Pedidos!$H$2:$H$501,A20,Pedidos!$G$2:$G$501)</f>
        <v>1914030</v>
      </c>
      <c r="D20" s="24">
        <f t="shared" si="2"/>
        <v>0.16</v>
      </c>
      <c r="E20" s="12"/>
      <c r="F20" s="12"/>
      <c r="G20" s="12"/>
      <c r="H20" s="12" t="s">
        <v>887</v>
      </c>
      <c r="I20" s="12">
        <f>COUNTIF(Incidencias!$B$2:$B$126,"SLA_INCUMPLIDO")</f>
        <v>43</v>
      </c>
      <c r="J20" s="12">
        <f>COUNTIFS(Incidencias!$B$2:$B$126,"SLA_INCUMPLIDO",Incidencias!$G$2:$G$126,"ABIERTO")</f>
        <v>43</v>
      </c>
      <c r="K20" s="12">
        <f>COUNTIFS(Incidencias!$B$2:$B$126,"SLA_INCUMPLIDO",Incidencias!$G$2:$G$126,"RESUELTO")</f>
        <v>0</v>
      </c>
      <c r="L20" s="12"/>
      <c r="M20" s="12"/>
      <c r="N20" s="12"/>
      <c r="O20" s="12"/>
      <c r="R20" s="6" t="str">
        <f t="shared" ref="R20:S20" si="5">A20</f>
        <v>Maule</v>
      </c>
      <c r="S20" s="6">
        <f t="shared" si="5"/>
        <v>80</v>
      </c>
    </row>
    <row r="21" ht="15.75" customHeight="1">
      <c r="A21" s="12" t="s">
        <v>121</v>
      </c>
      <c r="B21" s="12">
        <f>COUNTIF(Pedidos!$H$2:$H$501,A21)</f>
        <v>85</v>
      </c>
      <c r="C21" s="23">
        <f>SUMIF(Pedidos!$H$2:$H$501,A21,Pedidos!$G$2:$G$501)</f>
        <v>2071940</v>
      </c>
      <c r="D21" s="24">
        <f t="shared" si="2"/>
        <v>0.17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R21" s="6" t="str">
        <f t="shared" ref="R21:S21" si="6">A21</f>
        <v>Metropolitana</v>
      </c>
      <c r="S21" s="6">
        <f t="shared" si="6"/>
        <v>85</v>
      </c>
    </row>
    <row r="22" ht="15.75" customHeight="1">
      <c r="A22" s="12" t="s">
        <v>81</v>
      </c>
      <c r="B22" s="12">
        <f>COUNTIF(Pedidos!$H$2:$H$501,A22)</f>
        <v>79</v>
      </c>
      <c r="C22" s="23">
        <f>SUMIF(Pedidos!$H$2:$H$501,A22,Pedidos!$G$2:$G$501)</f>
        <v>2020920</v>
      </c>
      <c r="D22" s="24">
        <f t="shared" si="2"/>
        <v>0.158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R22" s="6" t="str">
        <f t="shared" ref="R22:S22" si="7">A22</f>
        <v>Valparaíso</v>
      </c>
      <c r="S22" s="6">
        <f t="shared" si="7"/>
        <v>79</v>
      </c>
    </row>
    <row r="23" ht="28.5" customHeight="1">
      <c r="A23" s="17" t="s">
        <v>966</v>
      </c>
      <c r="R23" s="6" t="s">
        <v>968</v>
      </c>
      <c r="S23" s="6">
        <v>0.0</v>
      </c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ht="15.75" customHeight="1">
      <c r="A41" s="26" t="s">
        <v>1032</v>
      </c>
    </row>
    <row r="42" ht="15.75" customHeight="1"/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O2"/>
    <mergeCell ref="A3:O3"/>
    <mergeCell ref="A5:C5"/>
    <mergeCell ref="D5:F5"/>
    <mergeCell ref="G5:I5"/>
    <mergeCell ref="J5:L5"/>
    <mergeCell ref="M5:O5"/>
    <mergeCell ref="J11:L11"/>
    <mergeCell ref="M11:O11"/>
    <mergeCell ref="A6:C8"/>
    <mergeCell ref="D6:F8"/>
    <mergeCell ref="G6:I8"/>
    <mergeCell ref="J6:L8"/>
    <mergeCell ref="M6:O8"/>
    <mergeCell ref="A10:O10"/>
    <mergeCell ref="A11:C11"/>
    <mergeCell ref="A15:G15"/>
    <mergeCell ref="H15:O15"/>
    <mergeCell ref="A23:O23"/>
    <mergeCell ref="A41:O42"/>
    <mergeCell ref="D11:F11"/>
    <mergeCell ref="G11:I11"/>
    <mergeCell ref="A12:C13"/>
    <mergeCell ref="D12:F13"/>
    <mergeCell ref="G12:I13"/>
    <mergeCell ref="J12:L13"/>
    <mergeCell ref="M12:O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4.0"/>
    <col customWidth="1" min="2" max="8" width="20.0"/>
    <col customWidth="1" min="9" max="26" width="8.63"/>
  </cols>
  <sheetData>
    <row r="1">
      <c r="A1" s="1" t="s">
        <v>1</v>
      </c>
    </row>
    <row r="3" ht="22.5" customHeight="1">
      <c r="A3" s="3" t="s">
        <v>3</v>
      </c>
    </row>
    <row r="5" ht="24.75" customHeight="1">
      <c r="A5" s="4" t="s">
        <v>6</v>
      </c>
      <c r="B5" s="4" t="s">
        <v>10</v>
      </c>
      <c r="C5" s="4" t="s">
        <v>12</v>
      </c>
      <c r="D5" s="4" t="s">
        <v>14</v>
      </c>
      <c r="E5" s="4" t="s">
        <v>16</v>
      </c>
      <c r="F5" s="4" t="s">
        <v>18</v>
      </c>
      <c r="G5" s="4" t="s">
        <v>21</v>
      </c>
      <c r="H5" s="4" t="s">
        <v>23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31</v>
      </c>
      <c r="B6" s="6">
        <f>COUNTIFS(Pedidos!$H$2:$H$501,$A6,Pedidos!$E$2:$E$501,B$5)</f>
        <v>13</v>
      </c>
      <c r="C6" s="6">
        <f>COUNTIFS(Pedidos!$H$2:$H$501,$A6,Pedidos!$E$2:$E$501,C$5)</f>
        <v>14</v>
      </c>
      <c r="D6" s="6">
        <f>COUNTIFS(Pedidos!$H$2:$H$501,$A6,Pedidos!$E$2:$E$501,D$5)</f>
        <v>13</v>
      </c>
      <c r="E6" s="6">
        <f>COUNTIFS(Pedidos!$H$2:$H$501,$A6,Pedidos!$E$2:$E$501,E$5)</f>
        <v>17</v>
      </c>
      <c r="F6" s="6">
        <f>COUNTIFS(Pedidos!$H$2:$H$501,$A6,Pedidos!$E$2:$E$501,F$5)</f>
        <v>15</v>
      </c>
      <c r="G6" s="6">
        <f>COUNTIFS(Pedidos!$H$2:$H$501,$A6,Pedidos!$E$2:$E$501,G$5)</f>
        <v>19</v>
      </c>
      <c r="H6" s="6">
        <f t="shared" ref="H6:H11" si="1">SUM(B6:G6)</f>
        <v>91</v>
      </c>
    </row>
    <row r="7">
      <c r="A7" s="6" t="s">
        <v>38</v>
      </c>
      <c r="B7" s="6">
        <f>COUNTIFS(Pedidos!$H$2:$H$501,$A7,Pedidos!$E$2:$E$501,B$5)</f>
        <v>18</v>
      </c>
      <c r="C7" s="6">
        <f>COUNTIFS(Pedidos!$H$2:$H$501,$A7,Pedidos!$E$2:$E$501,C$5)</f>
        <v>14</v>
      </c>
      <c r="D7" s="6">
        <f>COUNTIFS(Pedidos!$H$2:$H$501,$A7,Pedidos!$E$2:$E$501,D$5)</f>
        <v>18</v>
      </c>
      <c r="E7" s="6">
        <f>COUNTIFS(Pedidos!$H$2:$H$501,$A7,Pedidos!$E$2:$E$501,E$5)</f>
        <v>10</v>
      </c>
      <c r="F7" s="6">
        <f>COUNTIFS(Pedidos!$H$2:$H$501,$A7,Pedidos!$E$2:$E$501,F$5)</f>
        <v>8</v>
      </c>
      <c r="G7" s="6">
        <f>COUNTIFS(Pedidos!$H$2:$H$501,$A7,Pedidos!$E$2:$E$501,G$5)</f>
        <v>12</v>
      </c>
      <c r="H7" s="6">
        <f t="shared" si="1"/>
        <v>80</v>
      </c>
    </row>
    <row r="8">
      <c r="A8" s="6" t="s">
        <v>51</v>
      </c>
      <c r="B8" s="6">
        <f>COUNTIFS(Pedidos!$H$2:$H$501,$A8,Pedidos!$E$2:$E$501,B$5)</f>
        <v>13</v>
      </c>
      <c r="C8" s="6">
        <f>COUNTIFS(Pedidos!$H$2:$H$501,$A8,Pedidos!$E$2:$E$501,C$5)</f>
        <v>11</v>
      </c>
      <c r="D8" s="6">
        <f>COUNTIFS(Pedidos!$H$2:$H$501,$A8,Pedidos!$E$2:$E$501,D$5)</f>
        <v>14</v>
      </c>
      <c r="E8" s="6">
        <f>COUNTIFS(Pedidos!$H$2:$H$501,$A8,Pedidos!$E$2:$E$501,E$5)</f>
        <v>19</v>
      </c>
      <c r="F8" s="6">
        <f>COUNTIFS(Pedidos!$H$2:$H$501,$A8,Pedidos!$E$2:$E$501,F$5)</f>
        <v>9</v>
      </c>
      <c r="G8" s="6">
        <f>COUNTIFS(Pedidos!$H$2:$H$501,$A8,Pedidos!$E$2:$E$501,G$5)</f>
        <v>19</v>
      </c>
      <c r="H8" s="6">
        <f t="shared" si="1"/>
        <v>85</v>
      </c>
    </row>
    <row r="9">
      <c r="A9" s="6" t="s">
        <v>47</v>
      </c>
      <c r="B9" s="6">
        <f>COUNTIFS(Pedidos!$H$2:$H$501,$A9,Pedidos!$E$2:$E$501,B$5)</f>
        <v>18</v>
      </c>
      <c r="C9" s="6">
        <f>COUNTIFS(Pedidos!$H$2:$H$501,$A9,Pedidos!$E$2:$E$501,C$5)</f>
        <v>18</v>
      </c>
      <c r="D9" s="6">
        <f>COUNTIFS(Pedidos!$H$2:$H$501,$A9,Pedidos!$E$2:$E$501,D$5)</f>
        <v>8</v>
      </c>
      <c r="E9" s="6">
        <f>COUNTIFS(Pedidos!$H$2:$H$501,$A9,Pedidos!$E$2:$E$501,E$5)</f>
        <v>7</v>
      </c>
      <c r="F9" s="6">
        <f>COUNTIFS(Pedidos!$H$2:$H$501,$A9,Pedidos!$E$2:$E$501,F$5)</f>
        <v>15</v>
      </c>
      <c r="G9" s="6">
        <f>COUNTIFS(Pedidos!$H$2:$H$501,$A9,Pedidos!$E$2:$E$501,G$5)</f>
        <v>14</v>
      </c>
      <c r="H9" s="6">
        <f t="shared" si="1"/>
        <v>80</v>
      </c>
    </row>
    <row r="10">
      <c r="A10" s="6" t="s">
        <v>121</v>
      </c>
      <c r="B10" s="6">
        <f>COUNTIFS(Pedidos!$H$2:$H$501,$A10,Pedidos!$E$2:$E$501,B$5)</f>
        <v>14</v>
      </c>
      <c r="C10" s="6">
        <f>COUNTIFS(Pedidos!$H$2:$H$501,$A10,Pedidos!$E$2:$E$501,C$5)</f>
        <v>17</v>
      </c>
      <c r="D10" s="6">
        <f>COUNTIFS(Pedidos!$H$2:$H$501,$A10,Pedidos!$E$2:$E$501,D$5)</f>
        <v>15</v>
      </c>
      <c r="E10" s="6">
        <f>COUNTIFS(Pedidos!$H$2:$H$501,$A10,Pedidos!$E$2:$E$501,E$5)</f>
        <v>12</v>
      </c>
      <c r="F10" s="6">
        <f>COUNTIFS(Pedidos!$H$2:$H$501,$A10,Pedidos!$E$2:$E$501,F$5)</f>
        <v>17</v>
      </c>
      <c r="G10" s="6">
        <f>COUNTIFS(Pedidos!$H$2:$H$501,$A10,Pedidos!$E$2:$E$501,G$5)</f>
        <v>10</v>
      </c>
      <c r="H10" s="6">
        <f t="shared" si="1"/>
        <v>85</v>
      </c>
    </row>
    <row r="11">
      <c r="A11" s="6" t="s">
        <v>81</v>
      </c>
      <c r="B11" s="6">
        <f>COUNTIFS(Pedidos!$H$2:$H$501,$A11,Pedidos!$E$2:$E$501,B$5)</f>
        <v>18</v>
      </c>
      <c r="C11" s="6">
        <f>COUNTIFS(Pedidos!$H$2:$H$501,$A11,Pedidos!$E$2:$E$501,C$5)</f>
        <v>13</v>
      </c>
      <c r="D11" s="6">
        <f>COUNTIFS(Pedidos!$H$2:$H$501,$A11,Pedidos!$E$2:$E$501,D$5)</f>
        <v>10</v>
      </c>
      <c r="E11" s="6">
        <f>COUNTIFS(Pedidos!$H$2:$H$501,$A11,Pedidos!$E$2:$E$501,E$5)</f>
        <v>8</v>
      </c>
      <c r="F11" s="6">
        <f>COUNTIFS(Pedidos!$H$2:$H$501,$A11,Pedidos!$E$2:$E$501,F$5)</f>
        <v>14</v>
      </c>
      <c r="G11" s="6">
        <f>COUNTIFS(Pedidos!$H$2:$H$501,$A11,Pedidos!$E$2:$E$501,G$5)</f>
        <v>16</v>
      </c>
      <c r="H11" s="6">
        <f t="shared" si="1"/>
        <v>79</v>
      </c>
    </row>
    <row r="12" ht="25.5" customHeight="1">
      <c r="A12" s="14" t="s">
        <v>23</v>
      </c>
      <c r="B12" s="14">
        <f t="shared" ref="B12:H12" si="2">SUM(B6:B11)</f>
        <v>94</v>
      </c>
      <c r="C12" s="14">
        <f t="shared" si="2"/>
        <v>87</v>
      </c>
      <c r="D12" s="14">
        <f t="shared" si="2"/>
        <v>78</v>
      </c>
      <c r="E12" s="14">
        <f t="shared" si="2"/>
        <v>73</v>
      </c>
      <c r="F12" s="14">
        <f t="shared" si="2"/>
        <v>78</v>
      </c>
      <c r="G12" s="14">
        <f t="shared" si="2"/>
        <v>90</v>
      </c>
      <c r="H12" s="14">
        <f t="shared" si="2"/>
        <v>500</v>
      </c>
    </row>
    <row r="15" ht="24.75" customHeight="1">
      <c r="A15" s="4" t="s">
        <v>485</v>
      </c>
      <c r="B15" s="4" t="s">
        <v>10</v>
      </c>
      <c r="C15" s="4" t="s">
        <v>12</v>
      </c>
      <c r="D15" s="4" t="s">
        <v>14</v>
      </c>
      <c r="E15" s="4" t="s">
        <v>16</v>
      </c>
      <c r="F15" s="4" t="s">
        <v>18</v>
      </c>
      <c r="G15" s="4" t="s">
        <v>21</v>
      </c>
      <c r="H15" s="4" t="s">
        <v>23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31</v>
      </c>
      <c r="B16" s="9">
        <f>SUMIFS(Pedidos!$G$2:$G$501,Pedidos!$H$2:$H$501,$A16,Pedidos!$E$2:$E$501,B$15)</f>
        <v>134850</v>
      </c>
      <c r="C16" s="9">
        <f>SUMIFS(Pedidos!$G$2:$G$501,Pedidos!$H$2:$H$501,$A16,Pedidos!$E$2:$E$501,C$15)</f>
        <v>559840</v>
      </c>
      <c r="D16" s="9">
        <f>SUMIFS(Pedidos!$G$2:$G$501,Pedidos!$H$2:$H$501,$A16,Pedidos!$E$2:$E$501,D$15)</f>
        <v>374850</v>
      </c>
      <c r="E16" s="9">
        <f>SUMIFS(Pedidos!$G$2:$G$501,Pedidos!$H$2:$H$501,$A16,Pedidos!$E$2:$E$501,E$15)</f>
        <v>303810</v>
      </c>
      <c r="F16" s="9">
        <f>SUMIFS(Pedidos!$G$2:$G$501,Pedidos!$H$2:$H$501,$A16,Pedidos!$E$2:$E$501,F$15)</f>
        <v>246810</v>
      </c>
      <c r="G16" s="9">
        <f>SUMIFS(Pedidos!$G$2:$G$501,Pedidos!$H$2:$H$501,$A16,Pedidos!$E$2:$E$501,G$15)</f>
        <v>399800</v>
      </c>
      <c r="H16" s="9">
        <f t="shared" ref="H16:H21" si="3">SUM(B16:G16)</f>
        <v>2019960</v>
      </c>
    </row>
    <row r="17">
      <c r="A17" s="6" t="s">
        <v>38</v>
      </c>
      <c r="B17" s="9">
        <f>SUMIFS(Pedidos!$G$2:$G$501,Pedidos!$H$2:$H$501,$A17,Pedidos!$E$2:$E$501,B$15)</f>
        <v>170810</v>
      </c>
      <c r="C17" s="9">
        <f>SUMIFS(Pedidos!$G$2:$G$501,Pedidos!$H$2:$H$501,$A17,Pedidos!$E$2:$E$501,C$15)</f>
        <v>559840</v>
      </c>
      <c r="D17" s="9">
        <f>SUMIFS(Pedidos!$G$2:$G$501,Pedidos!$H$2:$H$501,$A17,Pedidos!$E$2:$E$501,D$15)</f>
        <v>574770</v>
      </c>
      <c r="E17" s="9">
        <f>SUMIFS(Pedidos!$G$2:$G$501,Pedidos!$H$2:$H$501,$A17,Pedidos!$E$2:$E$501,E$15)</f>
        <v>207870</v>
      </c>
      <c r="F17" s="9">
        <f>SUMIFS(Pedidos!$G$2:$G$501,Pedidos!$H$2:$H$501,$A17,Pedidos!$E$2:$E$501,F$15)</f>
        <v>181860</v>
      </c>
      <c r="G17" s="9">
        <f>SUMIFS(Pedidos!$G$2:$G$501,Pedidos!$H$2:$H$501,$A17,Pedidos!$E$2:$E$501,G$15)</f>
        <v>279860</v>
      </c>
      <c r="H17" s="9">
        <f t="shared" si="3"/>
        <v>1975010</v>
      </c>
    </row>
    <row r="18">
      <c r="A18" s="6" t="s">
        <v>51</v>
      </c>
      <c r="B18" s="9">
        <f>SUMIFS(Pedidos!$G$2:$G$501,Pedidos!$H$2:$H$501,$A18,Pedidos!$E$2:$E$501,B$15)</f>
        <v>161820</v>
      </c>
      <c r="C18" s="9">
        <f>SUMIFS(Pedidos!$G$2:$G$501,Pedidos!$H$2:$H$501,$A18,Pedidos!$E$2:$E$501,C$15)</f>
        <v>419880</v>
      </c>
      <c r="D18" s="9">
        <f>SUMIFS(Pedidos!$G$2:$G$501,Pedidos!$H$2:$H$501,$A18,Pedidos!$E$2:$E$501,D$15)</f>
        <v>449820</v>
      </c>
      <c r="E18" s="9">
        <f>SUMIFS(Pedidos!$G$2:$G$501,Pedidos!$H$2:$H$501,$A18,Pedidos!$E$2:$E$501,E$15)</f>
        <v>367770</v>
      </c>
      <c r="F18" s="9">
        <f>SUMIFS(Pedidos!$G$2:$G$501,Pedidos!$H$2:$H$501,$A18,Pedidos!$E$2:$E$501,F$15)</f>
        <v>116910</v>
      </c>
      <c r="G18" s="9">
        <f>SUMIFS(Pedidos!$G$2:$G$501,Pedidos!$H$2:$H$501,$A18,Pedidos!$E$2:$E$501,G$15)</f>
        <v>539730</v>
      </c>
      <c r="H18" s="9">
        <f t="shared" si="3"/>
        <v>2055930</v>
      </c>
    </row>
    <row r="19">
      <c r="A19" s="6" t="s">
        <v>47</v>
      </c>
      <c r="B19" s="9">
        <f>SUMIFS(Pedidos!$G$2:$G$501,Pedidos!$H$2:$H$501,$A19,Pedidos!$E$2:$E$501,B$15)</f>
        <v>197780</v>
      </c>
      <c r="C19" s="9">
        <f>SUMIFS(Pedidos!$G$2:$G$501,Pedidos!$H$2:$H$501,$A19,Pedidos!$E$2:$E$501,C$15)</f>
        <v>734790</v>
      </c>
      <c r="D19" s="9">
        <f>SUMIFS(Pedidos!$G$2:$G$501,Pedidos!$H$2:$H$501,$A19,Pedidos!$E$2:$E$501,D$15)</f>
        <v>249900</v>
      </c>
      <c r="E19" s="9">
        <f>SUMIFS(Pedidos!$G$2:$G$501,Pedidos!$H$2:$H$501,$A19,Pedidos!$E$2:$E$501,E$15)</f>
        <v>143910</v>
      </c>
      <c r="F19" s="9">
        <f>SUMIFS(Pedidos!$G$2:$G$501,Pedidos!$H$2:$H$501,$A19,Pedidos!$E$2:$E$501,F$15)</f>
        <v>207840</v>
      </c>
      <c r="G19" s="9">
        <f>SUMIFS(Pedidos!$G$2:$G$501,Pedidos!$H$2:$H$501,$A19,Pedidos!$E$2:$E$501,G$15)</f>
        <v>379810</v>
      </c>
      <c r="H19" s="9">
        <f t="shared" si="3"/>
        <v>1914030</v>
      </c>
    </row>
    <row r="20">
      <c r="A20" s="6" t="s">
        <v>121</v>
      </c>
      <c r="B20" s="9">
        <f>SUMIFS(Pedidos!$G$2:$G$501,Pedidos!$H$2:$H$501,$A20,Pedidos!$E$2:$E$501,B$15)</f>
        <v>161820</v>
      </c>
      <c r="C20" s="9">
        <f>SUMIFS(Pedidos!$G$2:$G$501,Pedidos!$H$2:$H$501,$A20,Pedidos!$E$2:$E$501,C$15)</f>
        <v>629820</v>
      </c>
      <c r="D20" s="9">
        <f>SUMIFS(Pedidos!$G$2:$G$501,Pedidos!$H$2:$H$501,$A20,Pedidos!$E$2:$E$501,D$15)</f>
        <v>474810</v>
      </c>
      <c r="E20" s="9">
        <f>SUMIFS(Pedidos!$G$2:$G$501,Pedidos!$H$2:$H$501,$A20,Pedidos!$E$2:$E$501,E$15)</f>
        <v>239850</v>
      </c>
      <c r="F20" s="9">
        <f>SUMIFS(Pedidos!$G$2:$G$501,Pedidos!$H$2:$H$501,$A20,Pedidos!$E$2:$E$501,F$15)</f>
        <v>285780</v>
      </c>
      <c r="G20" s="9">
        <f>SUMIFS(Pedidos!$G$2:$G$501,Pedidos!$H$2:$H$501,$A20,Pedidos!$E$2:$E$501,G$15)</f>
        <v>279860</v>
      </c>
      <c r="H20" s="9">
        <f t="shared" si="3"/>
        <v>2071940</v>
      </c>
    </row>
    <row r="21" ht="15.75" customHeight="1">
      <c r="A21" s="6" t="s">
        <v>81</v>
      </c>
      <c r="B21" s="9">
        <f>SUMIFS(Pedidos!$G$2:$G$501,Pedidos!$H$2:$H$501,$A21,Pedidos!$E$2:$E$501,B$15)</f>
        <v>224750</v>
      </c>
      <c r="C21" s="9">
        <f>SUMIFS(Pedidos!$G$2:$G$501,Pedidos!$H$2:$H$501,$A21,Pedidos!$E$2:$E$501,C$15)</f>
        <v>559840</v>
      </c>
      <c r="D21" s="9">
        <f>SUMIFS(Pedidos!$G$2:$G$501,Pedidos!$H$2:$H$501,$A21,Pedidos!$E$2:$E$501,D$15)</f>
        <v>374850</v>
      </c>
      <c r="E21" s="9">
        <f>SUMIFS(Pedidos!$G$2:$G$501,Pedidos!$H$2:$H$501,$A21,Pedidos!$E$2:$E$501,E$15)</f>
        <v>207870</v>
      </c>
      <c r="F21" s="9">
        <f>SUMIFS(Pedidos!$G$2:$G$501,Pedidos!$H$2:$H$501,$A21,Pedidos!$E$2:$E$501,F$15)</f>
        <v>233820</v>
      </c>
      <c r="G21" s="9">
        <f>SUMIFS(Pedidos!$G$2:$G$501,Pedidos!$H$2:$H$501,$A21,Pedidos!$E$2:$E$501,G$15)</f>
        <v>419790</v>
      </c>
      <c r="H21" s="9">
        <f t="shared" si="3"/>
        <v>2020920</v>
      </c>
    </row>
    <row r="22" ht="25.5" customHeight="1">
      <c r="A22" s="14" t="s">
        <v>23</v>
      </c>
      <c r="B22" s="25">
        <f t="shared" ref="B22:H22" si="4">SUM(B16:B21)</f>
        <v>1051830</v>
      </c>
      <c r="C22" s="25">
        <f t="shared" si="4"/>
        <v>3464010</v>
      </c>
      <c r="D22" s="25">
        <f t="shared" si="4"/>
        <v>2499000</v>
      </c>
      <c r="E22" s="25">
        <f t="shared" si="4"/>
        <v>1471080</v>
      </c>
      <c r="F22" s="25">
        <f t="shared" si="4"/>
        <v>1273020</v>
      </c>
      <c r="G22" s="25">
        <f t="shared" si="4"/>
        <v>2298850</v>
      </c>
      <c r="H22" s="25">
        <f t="shared" si="4"/>
        <v>12057790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2"/>
    <mergeCell ref="A3:H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22.0"/>
    <col customWidth="1" min="3" max="4" width="17.0"/>
    <col customWidth="1" min="5" max="5" width="14.0"/>
    <col customWidth="1" min="6" max="6" width="13.0"/>
    <col customWidth="1" min="7" max="7" width="19.0"/>
    <col customWidth="1" min="8" max="9" width="20.0"/>
    <col customWidth="1" min="10" max="26" width="8.63"/>
  </cols>
  <sheetData>
    <row r="1" ht="28.5" customHeight="1">
      <c r="A1" s="2" t="s">
        <v>2</v>
      </c>
      <c r="B1" s="2" t="s">
        <v>9</v>
      </c>
      <c r="C1" s="2" t="s">
        <v>11</v>
      </c>
      <c r="D1" s="2" t="s">
        <v>13</v>
      </c>
      <c r="E1" s="2" t="s">
        <v>15</v>
      </c>
      <c r="F1" s="2" t="s">
        <v>17</v>
      </c>
      <c r="G1" s="2" t="s">
        <v>19</v>
      </c>
      <c r="H1" s="2" t="s">
        <v>22</v>
      </c>
      <c r="I1" s="2" t="s">
        <v>25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 t="s">
        <v>24</v>
      </c>
      <c r="B2" s="8">
        <v>46250.504166666666</v>
      </c>
      <c r="C2" s="6" t="s">
        <v>34</v>
      </c>
      <c r="D2" s="6" t="s">
        <v>35</v>
      </c>
      <c r="E2" s="6" t="s">
        <v>18</v>
      </c>
      <c r="F2" s="6">
        <v>3.0</v>
      </c>
      <c r="G2" s="9">
        <v>38970.0</v>
      </c>
      <c r="H2" s="6" t="s">
        <v>38</v>
      </c>
      <c r="I2" s="6" t="s">
        <v>39</v>
      </c>
    </row>
    <row r="3" ht="21.0" customHeight="1">
      <c r="A3" s="6" t="s">
        <v>29</v>
      </c>
      <c r="B3" s="8">
        <v>46250.63333333333</v>
      </c>
      <c r="C3" s="6" t="s">
        <v>42</v>
      </c>
      <c r="D3" s="6" t="s">
        <v>44</v>
      </c>
      <c r="E3" s="6" t="s">
        <v>10</v>
      </c>
      <c r="F3" s="6">
        <v>1.0</v>
      </c>
      <c r="G3" s="9">
        <v>8990.0</v>
      </c>
      <c r="H3" s="6" t="s">
        <v>47</v>
      </c>
      <c r="I3" s="6" t="s">
        <v>39</v>
      </c>
    </row>
    <row r="4" ht="21.0" customHeight="1">
      <c r="A4" s="6" t="s">
        <v>33</v>
      </c>
      <c r="B4" s="8">
        <v>46250.7625</v>
      </c>
      <c r="C4" s="6" t="s">
        <v>49</v>
      </c>
      <c r="D4" s="6" t="s">
        <v>44</v>
      </c>
      <c r="E4" s="6" t="s">
        <v>10</v>
      </c>
      <c r="F4" s="6">
        <v>1.0</v>
      </c>
      <c r="G4" s="9">
        <v>8990.0</v>
      </c>
      <c r="H4" s="6" t="s">
        <v>51</v>
      </c>
      <c r="I4" s="6" t="s">
        <v>39</v>
      </c>
    </row>
    <row r="5" ht="21.0" customHeight="1">
      <c r="A5" s="6" t="s">
        <v>37</v>
      </c>
      <c r="B5" s="8">
        <v>46250.89166666667</v>
      </c>
      <c r="C5" s="6" t="s">
        <v>54</v>
      </c>
      <c r="D5" s="6" t="s">
        <v>55</v>
      </c>
      <c r="E5" s="6" t="s">
        <v>21</v>
      </c>
      <c r="F5" s="6">
        <v>1.0</v>
      </c>
      <c r="G5" s="9">
        <v>19990.0</v>
      </c>
      <c r="H5" s="6" t="s">
        <v>51</v>
      </c>
      <c r="I5" s="6" t="s">
        <v>39</v>
      </c>
    </row>
    <row r="6" ht="21.0" customHeight="1">
      <c r="A6" s="6" t="s">
        <v>41</v>
      </c>
      <c r="B6" s="8">
        <v>46251.020833333336</v>
      </c>
      <c r="C6" s="6" t="s">
        <v>58</v>
      </c>
      <c r="D6" s="6" t="s">
        <v>44</v>
      </c>
      <c r="E6" s="6" t="s">
        <v>10</v>
      </c>
      <c r="F6" s="6">
        <v>1.0</v>
      </c>
      <c r="G6" s="9">
        <v>8990.0</v>
      </c>
      <c r="H6" s="6" t="s">
        <v>51</v>
      </c>
      <c r="I6" s="6" t="s">
        <v>39</v>
      </c>
    </row>
    <row r="7" ht="21.0" customHeight="1">
      <c r="A7" s="6" t="s">
        <v>46</v>
      </c>
      <c r="B7" s="8">
        <v>46251.15</v>
      </c>
      <c r="C7" s="6" t="s">
        <v>62</v>
      </c>
      <c r="D7" s="6" t="s">
        <v>44</v>
      </c>
      <c r="E7" s="6" t="s">
        <v>10</v>
      </c>
      <c r="F7" s="6">
        <v>1.0</v>
      </c>
      <c r="G7" s="9">
        <v>8990.0</v>
      </c>
      <c r="H7" s="6" t="s">
        <v>38</v>
      </c>
      <c r="I7" s="6" t="s">
        <v>39</v>
      </c>
    </row>
    <row r="8" ht="21.0" customHeight="1">
      <c r="A8" s="6" t="s">
        <v>50</v>
      </c>
      <c r="B8" s="8">
        <v>46251.27916666667</v>
      </c>
      <c r="C8" s="6" t="s">
        <v>66</v>
      </c>
      <c r="D8" s="6" t="s">
        <v>55</v>
      </c>
      <c r="E8" s="6" t="s">
        <v>21</v>
      </c>
      <c r="F8" s="6">
        <v>1.0</v>
      </c>
      <c r="G8" s="9">
        <v>19990.0</v>
      </c>
      <c r="H8" s="6" t="s">
        <v>47</v>
      </c>
      <c r="I8" s="6" t="s">
        <v>39</v>
      </c>
    </row>
    <row r="9" ht="21.0" customHeight="1">
      <c r="A9" s="6" t="s">
        <v>53</v>
      </c>
      <c r="B9" s="8">
        <v>46251.40833333333</v>
      </c>
      <c r="C9" s="6" t="s">
        <v>69</v>
      </c>
      <c r="D9" s="6" t="s">
        <v>70</v>
      </c>
      <c r="E9" s="6" t="s">
        <v>12</v>
      </c>
      <c r="F9" s="6">
        <v>1.0</v>
      </c>
      <c r="G9" s="9">
        <v>34990.0</v>
      </c>
      <c r="H9" s="6" t="s">
        <v>47</v>
      </c>
      <c r="I9" s="6" t="s">
        <v>39</v>
      </c>
    </row>
    <row r="10" ht="21.0" customHeight="1">
      <c r="A10" s="6" t="s">
        <v>57</v>
      </c>
      <c r="B10" s="8">
        <v>46251.5375</v>
      </c>
      <c r="C10" s="6" t="s">
        <v>75</v>
      </c>
      <c r="D10" s="6" t="s">
        <v>35</v>
      </c>
      <c r="E10" s="6" t="s">
        <v>18</v>
      </c>
      <c r="F10" s="6">
        <v>1.0</v>
      </c>
      <c r="G10" s="9">
        <v>12990.0</v>
      </c>
      <c r="H10" s="6" t="s">
        <v>31</v>
      </c>
      <c r="I10" s="6" t="s">
        <v>39</v>
      </c>
    </row>
    <row r="11" ht="21.0" customHeight="1">
      <c r="A11" s="6" t="s">
        <v>60</v>
      </c>
      <c r="B11" s="8">
        <v>46251.666666666664</v>
      </c>
      <c r="C11" s="6" t="s">
        <v>78</v>
      </c>
      <c r="D11" s="6" t="s">
        <v>44</v>
      </c>
      <c r="E11" s="6" t="s">
        <v>10</v>
      </c>
      <c r="F11" s="6">
        <v>1.0</v>
      </c>
      <c r="G11" s="9">
        <v>8990.0</v>
      </c>
      <c r="H11" s="6" t="s">
        <v>81</v>
      </c>
      <c r="I11" s="6" t="s">
        <v>39</v>
      </c>
    </row>
    <row r="12" ht="21.0" customHeight="1">
      <c r="A12" s="6" t="s">
        <v>63</v>
      </c>
      <c r="B12" s="8">
        <v>46251.79583333333</v>
      </c>
      <c r="C12" s="6" t="s">
        <v>82</v>
      </c>
      <c r="D12" s="6" t="s">
        <v>44</v>
      </c>
      <c r="E12" s="6" t="s">
        <v>10</v>
      </c>
      <c r="F12" s="6">
        <v>1.0</v>
      </c>
      <c r="G12" s="9">
        <v>8990.0</v>
      </c>
      <c r="H12" s="6" t="s">
        <v>38</v>
      </c>
      <c r="I12" s="6" t="s">
        <v>39</v>
      </c>
    </row>
    <row r="13" ht="21.0" customHeight="1">
      <c r="A13" s="6" t="s">
        <v>65</v>
      </c>
      <c r="B13" s="8">
        <v>46251.925</v>
      </c>
      <c r="C13" s="6" t="s">
        <v>87</v>
      </c>
      <c r="D13" s="6" t="s">
        <v>55</v>
      </c>
      <c r="E13" s="6" t="s">
        <v>21</v>
      </c>
      <c r="F13" s="6">
        <v>1.0</v>
      </c>
      <c r="G13" s="9">
        <v>19990.0</v>
      </c>
      <c r="H13" s="6" t="s">
        <v>38</v>
      </c>
      <c r="I13" s="6" t="s">
        <v>39</v>
      </c>
    </row>
    <row r="14" ht="21.0" customHeight="1">
      <c r="A14" s="6" t="s">
        <v>68</v>
      </c>
      <c r="B14" s="8">
        <v>46252.05416666667</v>
      </c>
      <c r="C14" s="6" t="s">
        <v>90</v>
      </c>
      <c r="D14" s="6" t="s">
        <v>55</v>
      </c>
      <c r="E14" s="6" t="s">
        <v>21</v>
      </c>
      <c r="F14" s="6">
        <v>1.0</v>
      </c>
      <c r="G14" s="9">
        <v>19990.0</v>
      </c>
      <c r="H14" s="6" t="s">
        <v>81</v>
      </c>
      <c r="I14" s="6" t="s">
        <v>39</v>
      </c>
    </row>
    <row r="15" ht="21.0" customHeight="1">
      <c r="A15" s="6" t="s">
        <v>72</v>
      </c>
      <c r="B15" s="8">
        <v>46252.183333333334</v>
      </c>
      <c r="C15" s="6" t="s">
        <v>94</v>
      </c>
      <c r="D15" s="6" t="s">
        <v>96</v>
      </c>
      <c r="E15" s="6" t="s">
        <v>16</v>
      </c>
      <c r="F15" s="6">
        <v>1.0</v>
      </c>
      <c r="G15" s="9">
        <v>15990.0</v>
      </c>
      <c r="H15" s="6" t="s">
        <v>31</v>
      </c>
      <c r="I15" s="6" t="s">
        <v>39</v>
      </c>
    </row>
    <row r="16" ht="21.0" customHeight="1">
      <c r="A16" s="6" t="s">
        <v>74</v>
      </c>
      <c r="B16" s="8">
        <v>46252.3125</v>
      </c>
      <c r="C16" s="6" t="s">
        <v>100</v>
      </c>
      <c r="D16" s="6" t="s">
        <v>35</v>
      </c>
      <c r="E16" s="6" t="s">
        <v>18</v>
      </c>
      <c r="F16" s="6">
        <v>1.0</v>
      </c>
      <c r="G16" s="9">
        <v>12990.0</v>
      </c>
      <c r="H16" s="6" t="s">
        <v>51</v>
      </c>
      <c r="I16" s="6" t="s">
        <v>39</v>
      </c>
    </row>
    <row r="17" ht="21.0" customHeight="1">
      <c r="A17" s="6" t="s">
        <v>77</v>
      </c>
      <c r="B17" s="8">
        <v>46252.441666666666</v>
      </c>
      <c r="C17" s="6" t="s">
        <v>103</v>
      </c>
      <c r="D17" s="6" t="s">
        <v>96</v>
      </c>
      <c r="E17" s="6" t="s">
        <v>16</v>
      </c>
      <c r="F17" s="6">
        <v>1.0</v>
      </c>
      <c r="G17" s="9">
        <v>15990.0</v>
      </c>
      <c r="H17" s="6" t="s">
        <v>31</v>
      </c>
      <c r="I17" s="6" t="s">
        <v>39</v>
      </c>
    </row>
    <row r="18" ht="21.0" customHeight="1">
      <c r="A18" s="6" t="s">
        <v>80</v>
      </c>
      <c r="B18" s="8">
        <v>46252.57083333333</v>
      </c>
      <c r="C18" s="6" t="s">
        <v>108</v>
      </c>
      <c r="D18" s="6" t="s">
        <v>44</v>
      </c>
      <c r="E18" s="6" t="s">
        <v>10</v>
      </c>
      <c r="F18" s="6">
        <v>1.0</v>
      </c>
      <c r="G18" s="9">
        <v>8990.0</v>
      </c>
      <c r="H18" s="6" t="s">
        <v>51</v>
      </c>
      <c r="I18" s="6" t="s">
        <v>39</v>
      </c>
    </row>
    <row r="19" ht="21.0" customHeight="1">
      <c r="A19" s="6" t="s">
        <v>84</v>
      </c>
      <c r="B19" s="8">
        <v>46252.7</v>
      </c>
      <c r="C19" s="6" t="s">
        <v>111</v>
      </c>
      <c r="D19" s="6" t="s">
        <v>44</v>
      </c>
      <c r="E19" s="6" t="s">
        <v>10</v>
      </c>
      <c r="F19" s="6">
        <v>3.0</v>
      </c>
      <c r="G19" s="9">
        <v>26970.0</v>
      </c>
      <c r="H19" s="6" t="s">
        <v>51</v>
      </c>
      <c r="I19" s="6" t="s">
        <v>39</v>
      </c>
    </row>
    <row r="20" ht="21.0" customHeight="1">
      <c r="A20" s="6" t="s">
        <v>86</v>
      </c>
      <c r="B20" s="8">
        <v>46252.82916666667</v>
      </c>
      <c r="C20" s="6" t="s">
        <v>114</v>
      </c>
      <c r="D20" s="6" t="s">
        <v>44</v>
      </c>
      <c r="E20" s="6" t="s">
        <v>10</v>
      </c>
      <c r="F20" s="6">
        <v>1.0</v>
      </c>
      <c r="G20" s="9">
        <v>8990.0</v>
      </c>
      <c r="H20" s="6" t="s">
        <v>81</v>
      </c>
      <c r="I20" s="6" t="s">
        <v>39</v>
      </c>
    </row>
    <row r="21" ht="21.0" customHeight="1">
      <c r="A21" s="6" t="s">
        <v>89</v>
      </c>
      <c r="B21" s="8">
        <v>46252.958333333336</v>
      </c>
      <c r="C21" s="6" t="s">
        <v>117</v>
      </c>
      <c r="D21" s="6" t="s">
        <v>119</v>
      </c>
      <c r="E21" s="6" t="s">
        <v>14</v>
      </c>
      <c r="F21" s="6">
        <v>2.0</v>
      </c>
      <c r="G21" s="9">
        <v>49980.0</v>
      </c>
      <c r="H21" s="6" t="s">
        <v>121</v>
      </c>
      <c r="I21" s="6" t="s">
        <v>39</v>
      </c>
    </row>
    <row r="22" ht="21.0" customHeight="1">
      <c r="A22" s="6" t="s">
        <v>92</v>
      </c>
      <c r="B22" s="8">
        <v>46253.0875</v>
      </c>
      <c r="C22" s="6" t="s">
        <v>124</v>
      </c>
      <c r="D22" s="6" t="s">
        <v>35</v>
      </c>
      <c r="E22" s="6" t="s">
        <v>18</v>
      </c>
      <c r="F22" s="6">
        <v>1.0</v>
      </c>
      <c r="G22" s="9">
        <v>12990.0</v>
      </c>
      <c r="H22" s="6" t="s">
        <v>47</v>
      </c>
      <c r="I22" s="6" t="s">
        <v>39</v>
      </c>
    </row>
    <row r="23" ht="21.0" customHeight="1">
      <c r="A23" s="6" t="s">
        <v>95</v>
      </c>
      <c r="B23" s="8">
        <v>46253.21666666667</v>
      </c>
      <c r="C23" s="6" t="s">
        <v>128</v>
      </c>
      <c r="D23" s="6" t="s">
        <v>55</v>
      </c>
      <c r="E23" s="6" t="s">
        <v>21</v>
      </c>
      <c r="F23" s="6">
        <v>2.0</v>
      </c>
      <c r="G23" s="9">
        <v>39980.0</v>
      </c>
      <c r="H23" s="6" t="s">
        <v>31</v>
      </c>
      <c r="I23" s="6" t="s">
        <v>39</v>
      </c>
    </row>
    <row r="24" ht="21.0" customHeight="1">
      <c r="A24" s="6" t="s">
        <v>99</v>
      </c>
      <c r="B24" s="8">
        <v>46253.34583333333</v>
      </c>
      <c r="C24" s="6" t="s">
        <v>131</v>
      </c>
      <c r="D24" s="6" t="s">
        <v>119</v>
      </c>
      <c r="E24" s="6" t="s">
        <v>14</v>
      </c>
      <c r="F24" s="6">
        <v>1.0</v>
      </c>
      <c r="G24" s="9">
        <v>24990.0</v>
      </c>
      <c r="H24" s="6" t="s">
        <v>51</v>
      </c>
      <c r="I24" s="6" t="s">
        <v>39</v>
      </c>
    </row>
    <row r="25" ht="21.0" customHeight="1">
      <c r="A25" s="6" t="s">
        <v>102</v>
      </c>
      <c r="B25" s="8">
        <v>46253.475</v>
      </c>
      <c r="C25" s="6" t="s">
        <v>136</v>
      </c>
      <c r="D25" s="6" t="s">
        <v>35</v>
      </c>
      <c r="E25" s="6" t="s">
        <v>18</v>
      </c>
      <c r="F25" s="6">
        <v>1.0</v>
      </c>
      <c r="G25" s="9">
        <v>12990.0</v>
      </c>
      <c r="H25" s="6" t="s">
        <v>121</v>
      </c>
      <c r="I25" s="6" t="s">
        <v>39</v>
      </c>
    </row>
    <row r="26" ht="21.0" customHeight="1">
      <c r="A26" s="6" t="s">
        <v>105</v>
      </c>
      <c r="B26" s="8">
        <v>46253.604166666664</v>
      </c>
      <c r="C26" s="6" t="s">
        <v>139</v>
      </c>
      <c r="D26" s="6" t="s">
        <v>119</v>
      </c>
      <c r="E26" s="6" t="s">
        <v>14</v>
      </c>
      <c r="F26" s="6">
        <v>3.0</v>
      </c>
      <c r="G26" s="9">
        <v>74970.0</v>
      </c>
      <c r="H26" s="6" t="s">
        <v>81</v>
      </c>
      <c r="I26" s="6" t="s">
        <v>39</v>
      </c>
    </row>
    <row r="27" ht="21.0" customHeight="1">
      <c r="A27" s="6" t="s">
        <v>107</v>
      </c>
      <c r="B27" s="8">
        <v>46253.73333333333</v>
      </c>
      <c r="C27" s="6" t="s">
        <v>142</v>
      </c>
      <c r="D27" s="6" t="s">
        <v>119</v>
      </c>
      <c r="E27" s="6" t="s">
        <v>14</v>
      </c>
      <c r="F27" s="6">
        <v>1.0</v>
      </c>
      <c r="G27" s="9">
        <v>24990.0</v>
      </c>
      <c r="H27" s="6" t="s">
        <v>121</v>
      </c>
      <c r="I27" s="6" t="s">
        <v>39</v>
      </c>
    </row>
    <row r="28" ht="21.0" customHeight="1">
      <c r="A28" s="6" t="s">
        <v>110</v>
      </c>
      <c r="B28" s="8">
        <v>46253.8625</v>
      </c>
      <c r="C28" s="6" t="s">
        <v>147</v>
      </c>
      <c r="D28" s="6" t="s">
        <v>119</v>
      </c>
      <c r="E28" s="6" t="s">
        <v>14</v>
      </c>
      <c r="F28" s="6">
        <v>1.0</v>
      </c>
      <c r="G28" s="9">
        <v>24990.0</v>
      </c>
      <c r="H28" s="6" t="s">
        <v>47</v>
      </c>
      <c r="I28" s="6" t="s">
        <v>39</v>
      </c>
    </row>
    <row r="29" ht="21.0" customHeight="1">
      <c r="A29" s="6" t="s">
        <v>113</v>
      </c>
      <c r="B29" s="8">
        <v>46253.99166666667</v>
      </c>
      <c r="C29" s="6" t="s">
        <v>150</v>
      </c>
      <c r="D29" s="6" t="s">
        <v>119</v>
      </c>
      <c r="E29" s="6" t="s">
        <v>14</v>
      </c>
      <c r="F29" s="6">
        <v>1.0</v>
      </c>
      <c r="G29" s="9">
        <v>24990.0</v>
      </c>
      <c r="H29" s="6" t="s">
        <v>31</v>
      </c>
      <c r="I29" s="6" t="s">
        <v>39</v>
      </c>
    </row>
    <row r="30" ht="21.0" customHeight="1">
      <c r="A30" s="6" t="s">
        <v>116</v>
      </c>
      <c r="B30" s="8">
        <v>46254.120833333334</v>
      </c>
      <c r="C30" s="6" t="s">
        <v>153</v>
      </c>
      <c r="D30" s="6" t="s">
        <v>55</v>
      </c>
      <c r="E30" s="6" t="s">
        <v>21</v>
      </c>
      <c r="F30" s="6">
        <v>1.0</v>
      </c>
      <c r="G30" s="9">
        <v>19990.0</v>
      </c>
      <c r="H30" s="6" t="s">
        <v>47</v>
      </c>
      <c r="I30" s="6" t="s">
        <v>39</v>
      </c>
    </row>
    <row r="31" ht="21.0" customHeight="1">
      <c r="A31" s="6" t="s">
        <v>120</v>
      </c>
      <c r="B31" s="8">
        <v>46254.25</v>
      </c>
      <c r="C31" s="6" t="s">
        <v>158</v>
      </c>
      <c r="D31" s="6" t="s">
        <v>35</v>
      </c>
      <c r="E31" s="6" t="s">
        <v>18</v>
      </c>
      <c r="F31" s="6">
        <v>1.0</v>
      </c>
      <c r="G31" s="9">
        <v>12990.0</v>
      </c>
      <c r="H31" s="6" t="s">
        <v>51</v>
      </c>
      <c r="I31" s="6" t="s">
        <v>39</v>
      </c>
    </row>
    <row r="32" ht="21.0" customHeight="1">
      <c r="A32" s="6" t="s">
        <v>123</v>
      </c>
      <c r="B32" s="8">
        <v>46254.379166666666</v>
      </c>
      <c r="C32" s="6" t="s">
        <v>161</v>
      </c>
      <c r="D32" s="6" t="s">
        <v>119</v>
      </c>
      <c r="E32" s="6" t="s">
        <v>14</v>
      </c>
      <c r="F32" s="6">
        <v>1.0</v>
      </c>
      <c r="G32" s="9">
        <v>24990.0</v>
      </c>
      <c r="H32" s="6" t="s">
        <v>38</v>
      </c>
      <c r="I32" s="6" t="s">
        <v>39</v>
      </c>
    </row>
    <row r="33" ht="21.0" customHeight="1">
      <c r="A33" s="6" t="s">
        <v>127</v>
      </c>
      <c r="B33" s="8">
        <v>46254.50833333333</v>
      </c>
      <c r="C33" s="6" t="s">
        <v>164</v>
      </c>
      <c r="D33" s="6" t="s">
        <v>44</v>
      </c>
      <c r="E33" s="6" t="s">
        <v>10</v>
      </c>
      <c r="F33" s="6">
        <v>1.0</v>
      </c>
      <c r="G33" s="9">
        <v>8990.0</v>
      </c>
      <c r="H33" s="6" t="s">
        <v>38</v>
      </c>
      <c r="I33" s="6" t="s">
        <v>39</v>
      </c>
    </row>
    <row r="34" ht="21.0" customHeight="1">
      <c r="A34" s="6" t="s">
        <v>130</v>
      </c>
      <c r="B34" s="8">
        <v>46254.6375</v>
      </c>
      <c r="C34" s="6" t="s">
        <v>169</v>
      </c>
      <c r="D34" s="6" t="s">
        <v>35</v>
      </c>
      <c r="E34" s="6" t="s">
        <v>18</v>
      </c>
      <c r="F34" s="6">
        <v>2.0</v>
      </c>
      <c r="G34" s="9">
        <v>25980.0</v>
      </c>
      <c r="H34" s="6" t="s">
        <v>81</v>
      </c>
      <c r="I34" s="6" t="s">
        <v>39</v>
      </c>
    </row>
    <row r="35" ht="21.0" customHeight="1">
      <c r="A35" s="6" t="s">
        <v>133</v>
      </c>
      <c r="B35" s="8">
        <v>46254.76666666667</v>
      </c>
      <c r="C35" s="6" t="s">
        <v>172</v>
      </c>
      <c r="D35" s="6" t="s">
        <v>44</v>
      </c>
      <c r="E35" s="6" t="s">
        <v>10</v>
      </c>
      <c r="F35" s="6">
        <v>1.0</v>
      </c>
      <c r="G35" s="9">
        <v>8990.0</v>
      </c>
      <c r="H35" s="6" t="s">
        <v>31</v>
      </c>
      <c r="I35" s="6" t="s">
        <v>39</v>
      </c>
    </row>
    <row r="36" ht="21.0" customHeight="1">
      <c r="A36" s="6" t="s">
        <v>135</v>
      </c>
      <c r="B36" s="8">
        <v>46254.76944444444</v>
      </c>
      <c r="C36" s="6" t="s">
        <v>172</v>
      </c>
      <c r="D36" s="6" t="s">
        <v>44</v>
      </c>
      <c r="E36" s="6" t="s">
        <v>10</v>
      </c>
      <c r="F36" s="6">
        <v>1.0</v>
      </c>
      <c r="G36" s="9">
        <v>8990.0</v>
      </c>
      <c r="H36" s="6" t="s">
        <v>31</v>
      </c>
      <c r="I36" s="6" t="s">
        <v>39</v>
      </c>
    </row>
    <row r="37" ht="21.0" customHeight="1">
      <c r="A37" s="6" t="s">
        <v>138</v>
      </c>
      <c r="B37" s="8">
        <v>46255.025</v>
      </c>
      <c r="C37" s="6" t="s">
        <v>177</v>
      </c>
      <c r="D37" s="6" t="s">
        <v>70</v>
      </c>
      <c r="E37" s="6" t="s">
        <v>12</v>
      </c>
      <c r="F37" s="6">
        <v>1.0</v>
      </c>
      <c r="G37" s="9">
        <v>34990.0</v>
      </c>
      <c r="H37" s="6" t="s">
        <v>31</v>
      </c>
      <c r="I37" s="6" t="s">
        <v>39</v>
      </c>
    </row>
    <row r="38" ht="21.0" customHeight="1">
      <c r="A38" s="6" t="s">
        <v>141</v>
      </c>
      <c r="B38" s="8">
        <v>46255.15416666667</v>
      </c>
      <c r="C38" s="6" t="s">
        <v>180</v>
      </c>
      <c r="D38" s="6" t="s">
        <v>96</v>
      </c>
      <c r="E38" s="6" t="s">
        <v>16</v>
      </c>
      <c r="F38" s="6">
        <v>1.0</v>
      </c>
      <c r="G38" s="9">
        <v>15990.0</v>
      </c>
      <c r="H38" s="6" t="s">
        <v>51</v>
      </c>
      <c r="I38" s="6" t="s">
        <v>39</v>
      </c>
    </row>
    <row r="39" ht="21.0" customHeight="1">
      <c r="A39" s="6" t="s">
        <v>144</v>
      </c>
      <c r="B39" s="8">
        <v>46255.28333333333</v>
      </c>
      <c r="C39" s="6" t="s">
        <v>185</v>
      </c>
      <c r="D39" s="6" t="s">
        <v>96</v>
      </c>
      <c r="E39" s="6" t="s">
        <v>16</v>
      </c>
      <c r="F39" s="6">
        <v>1.0</v>
      </c>
      <c r="G39" s="9">
        <v>15990.0</v>
      </c>
      <c r="H39" s="6" t="s">
        <v>121</v>
      </c>
      <c r="I39" s="6" t="s">
        <v>39</v>
      </c>
    </row>
    <row r="40" ht="21.0" customHeight="1">
      <c r="A40" s="6" t="s">
        <v>146</v>
      </c>
      <c r="B40" s="8">
        <v>46255.4125</v>
      </c>
      <c r="C40" s="6" t="s">
        <v>192</v>
      </c>
      <c r="D40" s="6" t="s">
        <v>96</v>
      </c>
      <c r="E40" s="6" t="s">
        <v>16</v>
      </c>
      <c r="F40" s="6">
        <v>1.0</v>
      </c>
      <c r="G40" s="9">
        <v>15990.0</v>
      </c>
      <c r="H40" s="6" t="s">
        <v>121</v>
      </c>
      <c r="I40" s="6" t="s">
        <v>39</v>
      </c>
    </row>
    <row r="41" ht="21.0" customHeight="1">
      <c r="A41" s="6" t="s">
        <v>149</v>
      </c>
      <c r="B41" s="8">
        <v>46255.541666666664</v>
      </c>
      <c r="C41" s="6" t="s">
        <v>195</v>
      </c>
      <c r="D41" s="6" t="s">
        <v>70</v>
      </c>
      <c r="E41" s="6" t="s">
        <v>12</v>
      </c>
      <c r="F41" s="6">
        <v>1.0</v>
      </c>
      <c r="G41" s="9">
        <v>34990.0</v>
      </c>
      <c r="H41" s="6" t="s">
        <v>31</v>
      </c>
      <c r="I41" s="6" t="s">
        <v>39</v>
      </c>
    </row>
    <row r="42" ht="21.0" customHeight="1">
      <c r="A42" s="6" t="s">
        <v>152</v>
      </c>
      <c r="B42" s="8">
        <v>46255.67083333333</v>
      </c>
      <c r="C42" s="6" t="s">
        <v>198</v>
      </c>
      <c r="D42" s="6" t="s">
        <v>55</v>
      </c>
      <c r="E42" s="6" t="s">
        <v>21</v>
      </c>
      <c r="F42" s="6">
        <v>1.0</v>
      </c>
      <c r="G42" s="9">
        <v>19990.0</v>
      </c>
      <c r="H42" s="6" t="s">
        <v>81</v>
      </c>
      <c r="I42" s="6" t="s">
        <v>39</v>
      </c>
    </row>
    <row r="43" ht="21.0" customHeight="1">
      <c r="A43" s="6" t="s">
        <v>155</v>
      </c>
      <c r="B43" s="8">
        <v>46255.8</v>
      </c>
      <c r="C43" s="6" t="s">
        <v>201</v>
      </c>
      <c r="D43" s="6" t="s">
        <v>44</v>
      </c>
      <c r="E43" s="6" t="s">
        <v>10</v>
      </c>
      <c r="F43" s="6">
        <v>2.0</v>
      </c>
      <c r="G43" s="9">
        <v>17980.0</v>
      </c>
      <c r="H43" s="6" t="s">
        <v>121</v>
      </c>
      <c r="I43" s="6" t="s">
        <v>39</v>
      </c>
    </row>
    <row r="44" ht="21.0" customHeight="1">
      <c r="A44" s="6" t="s">
        <v>157</v>
      </c>
      <c r="B44" s="8">
        <v>46255.92916666667</v>
      </c>
      <c r="C44" s="6" t="s">
        <v>203</v>
      </c>
      <c r="D44" s="6" t="s">
        <v>70</v>
      </c>
      <c r="E44" s="6" t="s">
        <v>12</v>
      </c>
      <c r="F44" s="6">
        <v>1.0</v>
      </c>
      <c r="G44" s="9">
        <v>34990.0</v>
      </c>
      <c r="H44" s="6" t="s">
        <v>31</v>
      </c>
      <c r="I44" s="6" t="s">
        <v>39</v>
      </c>
    </row>
    <row r="45" ht="21.0" customHeight="1">
      <c r="A45" s="6" t="s">
        <v>160</v>
      </c>
      <c r="B45" s="8">
        <v>46256.058333333334</v>
      </c>
      <c r="C45" s="6" t="s">
        <v>207</v>
      </c>
      <c r="D45" s="6" t="s">
        <v>119</v>
      </c>
      <c r="E45" s="6" t="s">
        <v>14</v>
      </c>
      <c r="F45" s="6">
        <v>1.0</v>
      </c>
      <c r="G45" s="9">
        <v>24990.0</v>
      </c>
      <c r="H45" s="6" t="s">
        <v>51</v>
      </c>
      <c r="I45" s="6" t="s">
        <v>39</v>
      </c>
    </row>
    <row r="46" ht="21.0" customHeight="1">
      <c r="A46" s="6" t="s">
        <v>163</v>
      </c>
      <c r="B46" s="8">
        <v>46256.1875</v>
      </c>
      <c r="C46" s="6" t="s">
        <v>210</v>
      </c>
      <c r="D46" s="6" t="s">
        <v>70</v>
      </c>
      <c r="E46" s="6" t="s">
        <v>12</v>
      </c>
      <c r="F46" s="6">
        <v>1.0</v>
      </c>
      <c r="G46" s="9">
        <v>34990.0</v>
      </c>
      <c r="H46" s="6" t="s">
        <v>81</v>
      </c>
      <c r="I46" s="6" t="s">
        <v>39</v>
      </c>
    </row>
    <row r="47" ht="21.0" customHeight="1">
      <c r="A47" s="6" t="s">
        <v>166</v>
      </c>
      <c r="B47" s="8">
        <v>46256.316666666666</v>
      </c>
      <c r="C47" s="6" t="s">
        <v>213</v>
      </c>
      <c r="D47" s="6" t="s">
        <v>44</v>
      </c>
      <c r="E47" s="6" t="s">
        <v>10</v>
      </c>
      <c r="F47" s="6">
        <v>1.0</v>
      </c>
      <c r="G47" s="9">
        <v>8990.0</v>
      </c>
      <c r="H47" s="6" t="s">
        <v>47</v>
      </c>
      <c r="I47" s="6" t="s">
        <v>39</v>
      </c>
    </row>
    <row r="48" ht="21.0" customHeight="1">
      <c r="A48" s="6" t="s">
        <v>168</v>
      </c>
      <c r="B48" s="8">
        <v>46256.44583333333</v>
      </c>
      <c r="C48" s="6" t="s">
        <v>217</v>
      </c>
      <c r="D48" s="6" t="s">
        <v>119</v>
      </c>
      <c r="E48" s="6" t="s">
        <v>14</v>
      </c>
      <c r="F48" s="6">
        <v>1.0</v>
      </c>
      <c r="G48" s="9">
        <v>24990.0</v>
      </c>
      <c r="H48" s="6" t="s">
        <v>38</v>
      </c>
      <c r="I48" s="6" t="s">
        <v>39</v>
      </c>
    </row>
    <row r="49" ht="21.0" customHeight="1">
      <c r="A49" s="6" t="s">
        <v>171</v>
      </c>
      <c r="B49" s="8">
        <v>46256.575</v>
      </c>
      <c r="C49" s="6" t="s">
        <v>221</v>
      </c>
      <c r="D49" s="6" t="s">
        <v>44</v>
      </c>
      <c r="E49" s="6" t="s">
        <v>10</v>
      </c>
      <c r="F49" s="6">
        <v>3.0</v>
      </c>
      <c r="G49" s="9">
        <v>26970.0</v>
      </c>
      <c r="H49" s="6" t="s">
        <v>51</v>
      </c>
      <c r="I49" s="6" t="s">
        <v>39</v>
      </c>
    </row>
    <row r="50" ht="21.0" customHeight="1">
      <c r="A50" s="6" t="s">
        <v>174</v>
      </c>
      <c r="B50" s="8">
        <v>46256.70416666667</v>
      </c>
      <c r="C50" s="6" t="s">
        <v>224</v>
      </c>
      <c r="D50" s="6" t="s">
        <v>70</v>
      </c>
      <c r="E50" s="6" t="s">
        <v>12</v>
      </c>
      <c r="F50" s="6">
        <v>1.0</v>
      </c>
      <c r="G50" s="9">
        <v>34990.0</v>
      </c>
      <c r="H50" s="6" t="s">
        <v>121</v>
      </c>
      <c r="I50" s="6" t="s">
        <v>39</v>
      </c>
    </row>
    <row r="51" ht="21.0" customHeight="1">
      <c r="A51" s="6" t="s">
        <v>176</v>
      </c>
      <c r="B51" s="8">
        <v>46256.833333333336</v>
      </c>
      <c r="C51" s="6" t="s">
        <v>227</v>
      </c>
      <c r="D51" s="6" t="s">
        <v>55</v>
      </c>
      <c r="E51" s="6" t="s">
        <v>21</v>
      </c>
      <c r="F51" s="6">
        <v>2.0</v>
      </c>
      <c r="G51" s="9">
        <v>39980.0</v>
      </c>
      <c r="H51" s="6" t="s">
        <v>51</v>
      </c>
      <c r="I51" s="6" t="s">
        <v>39</v>
      </c>
    </row>
    <row r="52" ht="21.0" customHeight="1">
      <c r="A52" s="6" t="s">
        <v>179</v>
      </c>
      <c r="B52" s="8">
        <v>46256.9625</v>
      </c>
      <c r="C52" s="6" t="s">
        <v>231</v>
      </c>
      <c r="D52" s="6" t="s">
        <v>119</v>
      </c>
      <c r="E52" s="6" t="s">
        <v>14</v>
      </c>
      <c r="F52" s="6">
        <v>1.0</v>
      </c>
      <c r="G52" s="9">
        <v>24990.0</v>
      </c>
      <c r="H52" s="6" t="s">
        <v>31</v>
      </c>
      <c r="I52" s="6" t="s">
        <v>39</v>
      </c>
    </row>
    <row r="53" ht="21.0" customHeight="1">
      <c r="A53" s="6" t="s">
        <v>182</v>
      </c>
      <c r="B53" s="8">
        <v>46257.09166666667</v>
      </c>
      <c r="C53" s="6" t="s">
        <v>235</v>
      </c>
      <c r="D53" s="6" t="s">
        <v>35</v>
      </c>
      <c r="E53" s="6" t="s">
        <v>18</v>
      </c>
      <c r="F53" s="6">
        <v>1.0</v>
      </c>
      <c r="G53" s="9">
        <v>12990.0</v>
      </c>
      <c r="H53" s="6" t="s">
        <v>31</v>
      </c>
      <c r="I53" s="6" t="s">
        <v>39</v>
      </c>
    </row>
    <row r="54" ht="21.0" customHeight="1">
      <c r="A54" s="6" t="s">
        <v>184</v>
      </c>
      <c r="B54" s="8">
        <v>46257.22083333333</v>
      </c>
      <c r="C54" s="6" t="s">
        <v>238</v>
      </c>
      <c r="D54" s="6" t="s">
        <v>44</v>
      </c>
      <c r="E54" s="6" t="s">
        <v>10</v>
      </c>
      <c r="F54" s="6">
        <v>1.0</v>
      </c>
      <c r="G54" s="9">
        <v>8990.0</v>
      </c>
      <c r="H54" s="6" t="s">
        <v>51</v>
      </c>
      <c r="I54" s="6" t="s">
        <v>39</v>
      </c>
    </row>
    <row r="55" ht="21.0" customHeight="1">
      <c r="A55" s="6" t="s">
        <v>187</v>
      </c>
      <c r="B55" s="8">
        <v>46257.35</v>
      </c>
      <c r="C55" s="6" t="s">
        <v>243</v>
      </c>
      <c r="D55" s="6" t="s">
        <v>70</v>
      </c>
      <c r="E55" s="6" t="s">
        <v>12</v>
      </c>
      <c r="F55" s="6">
        <v>1.0</v>
      </c>
      <c r="G55" s="9">
        <v>34990.0</v>
      </c>
      <c r="H55" s="6" t="s">
        <v>38</v>
      </c>
      <c r="I55" s="6" t="s">
        <v>39</v>
      </c>
    </row>
    <row r="56" ht="21.0" customHeight="1">
      <c r="A56" s="6" t="s">
        <v>189</v>
      </c>
      <c r="B56" s="8">
        <v>46257.479166666664</v>
      </c>
      <c r="C56" s="6" t="s">
        <v>246</v>
      </c>
      <c r="D56" s="6" t="s">
        <v>55</v>
      </c>
      <c r="E56" s="6" t="s">
        <v>21</v>
      </c>
      <c r="F56" s="6">
        <v>1.0</v>
      </c>
      <c r="G56" s="9">
        <v>19990.0</v>
      </c>
      <c r="H56" s="6" t="s">
        <v>51</v>
      </c>
      <c r="I56" s="6" t="s">
        <v>39</v>
      </c>
    </row>
    <row r="57" ht="21.0" customHeight="1">
      <c r="A57" s="6" t="s">
        <v>191</v>
      </c>
      <c r="B57" s="8">
        <v>46257.60833333333</v>
      </c>
      <c r="C57" s="6" t="s">
        <v>249</v>
      </c>
      <c r="D57" s="6" t="s">
        <v>44</v>
      </c>
      <c r="E57" s="6" t="s">
        <v>10</v>
      </c>
      <c r="F57" s="6">
        <v>1.0</v>
      </c>
      <c r="G57" s="9">
        <v>8990.0</v>
      </c>
      <c r="H57" s="6" t="s">
        <v>38</v>
      </c>
      <c r="I57" s="6" t="s">
        <v>39</v>
      </c>
    </row>
    <row r="58" ht="21.0" customHeight="1">
      <c r="A58" s="6" t="s">
        <v>194</v>
      </c>
      <c r="B58" s="8">
        <v>46257.7375</v>
      </c>
      <c r="C58" s="6" t="s">
        <v>254</v>
      </c>
      <c r="D58" s="6" t="s">
        <v>44</v>
      </c>
      <c r="E58" s="6" t="s">
        <v>10</v>
      </c>
      <c r="F58" s="6">
        <v>1.0</v>
      </c>
      <c r="G58" s="9">
        <v>8990.0</v>
      </c>
      <c r="H58" s="6" t="s">
        <v>47</v>
      </c>
      <c r="I58" s="6" t="s">
        <v>39</v>
      </c>
    </row>
    <row r="59" ht="21.0" customHeight="1">
      <c r="A59" s="6" t="s">
        <v>197</v>
      </c>
      <c r="B59" s="8">
        <v>46257.86666666667</v>
      </c>
      <c r="C59" s="6" t="s">
        <v>257</v>
      </c>
      <c r="D59" s="6" t="s">
        <v>55</v>
      </c>
      <c r="E59" s="6" t="s">
        <v>21</v>
      </c>
      <c r="F59" s="6">
        <v>1.0</v>
      </c>
      <c r="G59" s="9">
        <v>19990.0</v>
      </c>
      <c r="H59" s="6" t="s">
        <v>31</v>
      </c>
      <c r="I59" s="6" t="s">
        <v>39</v>
      </c>
    </row>
    <row r="60" ht="21.0" customHeight="1">
      <c r="A60" s="6" t="s">
        <v>200</v>
      </c>
      <c r="B60" s="8">
        <v>46257.995833333334</v>
      </c>
      <c r="C60" s="6" t="s">
        <v>260</v>
      </c>
      <c r="D60" s="6" t="s">
        <v>70</v>
      </c>
      <c r="E60" s="6" t="s">
        <v>12</v>
      </c>
      <c r="F60" s="6">
        <v>3.0</v>
      </c>
      <c r="G60" s="9">
        <v>104970.0</v>
      </c>
      <c r="H60" s="6" t="s">
        <v>81</v>
      </c>
      <c r="I60" s="6" t="s">
        <v>39</v>
      </c>
    </row>
    <row r="61" ht="21.0" customHeight="1">
      <c r="A61" s="6" t="s">
        <v>204</v>
      </c>
      <c r="B61" s="8">
        <v>46258.125</v>
      </c>
      <c r="C61" s="6" t="s">
        <v>265</v>
      </c>
      <c r="D61" s="6" t="s">
        <v>119</v>
      </c>
      <c r="E61" s="6" t="s">
        <v>14</v>
      </c>
      <c r="F61" s="6">
        <v>1.0</v>
      </c>
      <c r="G61" s="9">
        <v>24990.0</v>
      </c>
      <c r="H61" s="6" t="s">
        <v>31</v>
      </c>
      <c r="I61" s="6" t="s">
        <v>39</v>
      </c>
    </row>
    <row r="62" ht="21.0" customHeight="1">
      <c r="A62" s="6" t="s">
        <v>206</v>
      </c>
      <c r="B62" s="8">
        <v>46258.254166666666</v>
      </c>
      <c r="C62" s="6" t="s">
        <v>268</v>
      </c>
      <c r="D62" s="6" t="s">
        <v>70</v>
      </c>
      <c r="E62" s="6" t="s">
        <v>12</v>
      </c>
      <c r="F62" s="6">
        <v>1.0</v>
      </c>
      <c r="G62" s="9">
        <v>34990.0</v>
      </c>
      <c r="H62" s="6" t="s">
        <v>121</v>
      </c>
      <c r="I62" s="6" t="s">
        <v>39</v>
      </c>
    </row>
    <row r="63" ht="21.0" customHeight="1">
      <c r="A63" s="6" t="s">
        <v>209</v>
      </c>
      <c r="B63" s="8">
        <v>46258.38333333333</v>
      </c>
      <c r="C63" s="6" t="s">
        <v>271</v>
      </c>
      <c r="D63" s="6" t="s">
        <v>70</v>
      </c>
      <c r="E63" s="6" t="s">
        <v>12</v>
      </c>
      <c r="F63" s="6">
        <v>1.0</v>
      </c>
      <c r="G63" s="9">
        <v>34990.0</v>
      </c>
      <c r="H63" s="6" t="s">
        <v>38</v>
      </c>
      <c r="I63" s="6" t="s">
        <v>39</v>
      </c>
    </row>
    <row r="64" ht="21.0" customHeight="1">
      <c r="A64" s="6" t="s">
        <v>212</v>
      </c>
      <c r="B64" s="8">
        <v>46258.5125</v>
      </c>
      <c r="C64" s="6" t="s">
        <v>276</v>
      </c>
      <c r="D64" s="6" t="s">
        <v>70</v>
      </c>
      <c r="E64" s="6" t="s">
        <v>12</v>
      </c>
      <c r="F64" s="6">
        <v>3.0</v>
      </c>
      <c r="G64" s="9">
        <v>104970.0</v>
      </c>
      <c r="H64" s="6" t="s">
        <v>47</v>
      </c>
      <c r="I64" s="6" t="s">
        <v>39</v>
      </c>
    </row>
    <row r="65" ht="21.0" customHeight="1">
      <c r="A65" s="6" t="s">
        <v>215</v>
      </c>
      <c r="B65" s="8">
        <v>46258.64166666667</v>
      </c>
      <c r="C65" s="6" t="s">
        <v>279</v>
      </c>
      <c r="D65" s="6" t="s">
        <v>70</v>
      </c>
      <c r="E65" s="6" t="s">
        <v>12</v>
      </c>
      <c r="F65" s="6">
        <v>1.0</v>
      </c>
      <c r="G65" s="9">
        <v>34990.0</v>
      </c>
      <c r="H65" s="6" t="s">
        <v>38</v>
      </c>
      <c r="I65" s="6" t="s">
        <v>39</v>
      </c>
    </row>
    <row r="66" ht="21.0" customHeight="1">
      <c r="A66" s="6" t="s">
        <v>218</v>
      </c>
      <c r="B66" s="8">
        <v>46258.770833333336</v>
      </c>
      <c r="C66" s="6" t="s">
        <v>282</v>
      </c>
      <c r="D66" s="6" t="s">
        <v>96</v>
      </c>
      <c r="E66" s="6" t="s">
        <v>16</v>
      </c>
      <c r="F66" s="6">
        <v>1.0</v>
      </c>
      <c r="G66" s="9">
        <v>15990.0</v>
      </c>
      <c r="H66" s="6" t="s">
        <v>38</v>
      </c>
      <c r="I66" s="6" t="s">
        <v>39</v>
      </c>
    </row>
    <row r="67" ht="21.0" customHeight="1">
      <c r="A67" s="6" t="s">
        <v>220</v>
      </c>
      <c r="B67" s="8">
        <v>46258.9</v>
      </c>
      <c r="C67" s="6" t="s">
        <v>287</v>
      </c>
      <c r="D67" s="6" t="s">
        <v>55</v>
      </c>
      <c r="E67" s="6" t="s">
        <v>21</v>
      </c>
      <c r="F67" s="6">
        <v>1.0</v>
      </c>
      <c r="G67" s="9">
        <v>19990.0</v>
      </c>
      <c r="H67" s="6" t="s">
        <v>51</v>
      </c>
      <c r="I67" s="6" t="s">
        <v>39</v>
      </c>
    </row>
    <row r="68" ht="21.0" customHeight="1">
      <c r="A68" s="6" t="s">
        <v>223</v>
      </c>
      <c r="B68" s="8">
        <v>46259.02916666667</v>
      </c>
      <c r="C68" s="6" t="s">
        <v>290</v>
      </c>
      <c r="D68" s="6" t="s">
        <v>35</v>
      </c>
      <c r="E68" s="6" t="s">
        <v>18</v>
      </c>
      <c r="F68" s="6">
        <v>1.0</v>
      </c>
      <c r="G68" s="9">
        <v>12990.0</v>
      </c>
      <c r="H68" s="6" t="s">
        <v>31</v>
      </c>
      <c r="I68" s="6" t="s">
        <v>39</v>
      </c>
    </row>
    <row r="69" ht="21.0" customHeight="1">
      <c r="A69" s="6" t="s">
        <v>226</v>
      </c>
      <c r="B69" s="8">
        <v>46259.15833333333</v>
      </c>
      <c r="C69" s="6" t="s">
        <v>294</v>
      </c>
      <c r="D69" s="6" t="s">
        <v>70</v>
      </c>
      <c r="E69" s="6" t="s">
        <v>12</v>
      </c>
      <c r="F69" s="6">
        <v>2.0</v>
      </c>
      <c r="G69" s="9">
        <v>69980.0</v>
      </c>
      <c r="H69" s="6" t="s">
        <v>121</v>
      </c>
      <c r="I69" s="6" t="s">
        <v>39</v>
      </c>
    </row>
    <row r="70" ht="21.0" customHeight="1">
      <c r="A70" s="6" t="s">
        <v>229</v>
      </c>
      <c r="B70" s="8">
        <v>46259.2875</v>
      </c>
      <c r="C70" s="6" t="s">
        <v>298</v>
      </c>
      <c r="D70" s="6" t="s">
        <v>96</v>
      </c>
      <c r="E70" s="6" t="s">
        <v>16</v>
      </c>
      <c r="F70" s="6">
        <v>1.0</v>
      </c>
      <c r="G70" s="9">
        <v>15990.0</v>
      </c>
      <c r="H70" s="6" t="s">
        <v>121</v>
      </c>
      <c r="I70" s="6" t="s">
        <v>39</v>
      </c>
    </row>
    <row r="71" ht="21.0" customHeight="1">
      <c r="A71" s="6" t="s">
        <v>232</v>
      </c>
      <c r="B71" s="8">
        <v>46259.416666666664</v>
      </c>
      <c r="C71" s="6" t="s">
        <v>301</v>
      </c>
      <c r="D71" s="6" t="s">
        <v>35</v>
      </c>
      <c r="E71" s="6" t="s">
        <v>18</v>
      </c>
      <c r="F71" s="6">
        <v>2.0</v>
      </c>
      <c r="G71" s="9">
        <v>25980.0</v>
      </c>
      <c r="H71" s="6" t="s">
        <v>31</v>
      </c>
      <c r="I71" s="6" t="s">
        <v>39</v>
      </c>
    </row>
    <row r="72" ht="21.0" customHeight="1">
      <c r="A72" s="6" t="s">
        <v>234</v>
      </c>
      <c r="B72" s="8">
        <v>46259.54583333333</v>
      </c>
      <c r="C72" s="6" t="s">
        <v>306</v>
      </c>
      <c r="D72" s="6" t="s">
        <v>55</v>
      </c>
      <c r="E72" s="6" t="s">
        <v>21</v>
      </c>
      <c r="F72" s="6">
        <v>1.0</v>
      </c>
      <c r="G72" s="9">
        <v>19990.0</v>
      </c>
      <c r="H72" s="6" t="s">
        <v>47</v>
      </c>
      <c r="I72" s="6" t="s">
        <v>39</v>
      </c>
    </row>
    <row r="73" ht="21.0" customHeight="1">
      <c r="A73" s="6" t="s">
        <v>237</v>
      </c>
      <c r="B73" s="8">
        <v>46259.675</v>
      </c>
      <c r="C73" s="6" t="s">
        <v>309</v>
      </c>
      <c r="D73" s="6" t="s">
        <v>96</v>
      </c>
      <c r="E73" s="6" t="s">
        <v>16</v>
      </c>
      <c r="F73" s="6">
        <v>2.0</v>
      </c>
      <c r="G73" s="9">
        <v>31980.0</v>
      </c>
      <c r="H73" s="6" t="s">
        <v>51</v>
      </c>
      <c r="I73" s="6" t="s">
        <v>39</v>
      </c>
    </row>
    <row r="74" ht="21.0" customHeight="1">
      <c r="A74" s="6" t="s">
        <v>240</v>
      </c>
      <c r="B74" s="8">
        <v>46259.80416666667</v>
      </c>
      <c r="C74" s="6" t="s">
        <v>314</v>
      </c>
      <c r="D74" s="6" t="s">
        <v>35</v>
      </c>
      <c r="E74" s="6" t="s">
        <v>18</v>
      </c>
      <c r="F74" s="6">
        <v>3.0</v>
      </c>
      <c r="G74" s="9">
        <v>38970.0</v>
      </c>
      <c r="H74" s="6" t="s">
        <v>121</v>
      </c>
      <c r="I74" s="6" t="s">
        <v>39</v>
      </c>
    </row>
    <row r="75" ht="21.0" customHeight="1">
      <c r="A75" s="6" t="s">
        <v>242</v>
      </c>
      <c r="B75" s="8">
        <v>46259.933333333334</v>
      </c>
      <c r="C75" s="6" t="s">
        <v>317</v>
      </c>
      <c r="D75" s="6" t="s">
        <v>96</v>
      </c>
      <c r="E75" s="6" t="s">
        <v>16</v>
      </c>
      <c r="F75" s="6">
        <v>1.0</v>
      </c>
      <c r="G75" s="9">
        <v>15990.0</v>
      </c>
      <c r="H75" s="6" t="s">
        <v>121</v>
      </c>
      <c r="I75" s="6" t="s">
        <v>39</v>
      </c>
    </row>
    <row r="76" ht="21.0" customHeight="1">
      <c r="A76" s="6" t="s">
        <v>245</v>
      </c>
      <c r="B76" s="8">
        <v>46260.0625</v>
      </c>
      <c r="C76" s="6" t="s">
        <v>320</v>
      </c>
      <c r="D76" s="6" t="s">
        <v>35</v>
      </c>
      <c r="E76" s="6" t="s">
        <v>18</v>
      </c>
      <c r="F76" s="6">
        <v>1.0</v>
      </c>
      <c r="G76" s="9">
        <v>12990.0</v>
      </c>
      <c r="H76" s="6" t="s">
        <v>81</v>
      </c>
      <c r="I76" s="6" t="s">
        <v>39</v>
      </c>
    </row>
    <row r="77" ht="21.0" customHeight="1">
      <c r="A77" s="6" t="s">
        <v>248</v>
      </c>
      <c r="B77" s="8">
        <v>46260.191666666666</v>
      </c>
      <c r="C77" s="6" t="s">
        <v>324</v>
      </c>
      <c r="D77" s="6" t="s">
        <v>55</v>
      </c>
      <c r="E77" s="6" t="s">
        <v>21</v>
      </c>
      <c r="F77" s="6">
        <v>1.0</v>
      </c>
      <c r="G77" s="9">
        <v>19990.0</v>
      </c>
      <c r="H77" s="6" t="s">
        <v>38</v>
      </c>
      <c r="I77" s="6" t="s">
        <v>39</v>
      </c>
    </row>
    <row r="78" ht="21.0" customHeight="1">
      <c r="A78" s="6" t="s">
        <v>251</v>
      </c>
      <c r="B78" s="8">
        <v>46260.194444444445</v>
      </c>
      <c r="C78" s="6" t="s">
        <v>324</v>
      </c>
      <c r="D78" s="6" t="s">
        <v>55</v>
      </c>
      <c r="E78" s="6" t="s">
        <v>21</v>
      </c>
      <c r="F78" s="6">
        <v>1.0</v>
      </c>
      <c r="G78" s="9">
        <v>19990.0</v>
      </c>
      <c r="H78" s="6" t="s">
        <v>38</v>
      </c>
      <c r="I78" s="6" t="s">
        <v>39</v>
      </c>
    </row>
    <row r="79" ht="21.0" customHeight="1">
      <c r="A79" s="6" t="s">
        <v>253</v>
      </c>
      <c r="B79" s="8">
        <v>46260.45</v>
      </c>
      <c r="C79" s="6" t="s">
        <v>329</v>
      </c>
      <c r="D79" s="6" t="s">
        <v>55</v>
      </c>
      <c r="E79" s="6" t="s">
        <v>21</v>
      </c>
      <c r="F79" s="6">
        <v>1.0</v>
      </c>
      <c r="G79" s="9">
        <v>19990.0</v>
      </c>
      <c r="H79" s="6" t="s">
        <v>31</v>
      </c>
      <c r="I79" s="6" t="s">
        <v>39</v>
      </c>
    </row>
    <row r="80" ht="21.0" customHeight="1">
      <c r="A80" s="6" t="s">
        <v>256</v>
      </c>
      <c r="B80" s="8">
        <v>46260.57916666667</v>
      </c>
      <c r="C80" s="6" t="s">
        <v>333</v>
      </c>
      <c r="D80" s="6" t="s">
        <v>119</v>
      </c>
      <c r="E80" s="6" t="s">
        <v>14</v>
      </c>
      <c r="F80" s="6">
        <v>1.0</v>
      </c>
      <c r="G80" s="9">
        <v>24990.0</v>
      </c>
      <c r="H80" s="6" t="s">
        <v>81</v>
      </c>
      <c r="I80" s="6" t="s">
        <v>39</v>
      </c>
    </row>
    <row r="81" ht="21.0" customHeight="1">
      <c r="A81" s="6" t="s">
        <v>259</v>
      </c>
      <c r="B81" s="8">
        <v>46260.708333333336</v>
      </c>
      <c r="C81" s="6" t="s">
        <v>336</v>
      </c>
      <c r="D81" s="6" t="s">
        <v>44</v>
      </c>
      <c r="E81" s="6" t="s">
        <v>10</v>
      </c>
      <c r="F81" s="6">
        <v>1.0</v>
      </c>
      <c r="G81" s="9">
        <v>8990.0</v>
      </c>
      <c r="H81" s="6" t="s">
        <v>38</v>
      </c>
      <c r="I81" s="6" t="s">
        <v>39</v>
      </c>
    </row>
    <row r="82" ht="21.0" customHeight="1">
      <c r="A82" s="6" t="s">
        <v>262</v>
      </c>
      <c r="B82" s="8">
        <v>46260.8375</v>
      </c>
      <c r="C82" s="6" t="s">
        <v>339</v>
      </c>
      <c r="D82" s="6" t="s">
        <v>44</v>
      </c>
      <c r="E82" s="6" t="s">
        <v>10</v>
      </c>
      <c r="F82" s="6">
        <v>2.0</v>
      </c>
      <c r="G82" s="9">
        <v>17980.0</v>
      </c>
      <c r="H82" s="6" t="s">
        <v>47</v>
      </c>
      <c r="I82" s="6" t="s">
        <v>39</v>
      </c>
    </row>
    <row r="83" ht="21.0" customHeight="1">
      <c r="A83" s="6" t="s">
        <v>264</v>
      </c>
      <c r="B83" s="8">
        <v>46260.96666666667</v>
      </c>
      <c r="C83" s="6" t="s">
        <v>344</v>
      </c>
      <c r="D83" s="6" t="s">
        <v>55</v>
      </c>
      <c r="E83" s="6" t="s">
        <v>21</v>
      </c>
      <c r="F83" s="6">
        <v>1.0</v>
      </c>
      <c r="G83" s="9">
        <v>19990.0</v>
      </c>
      <c r="H83" s="6" t="s">
        <v>121</v>
      </c>
      <c r="I83" s="6" t="s">
        <v>39</v>
      </c>
    </row>
    <row r="84" ht="21.0" customHeight="1">
      <c r="A84" s="6" t="s">
        <v>267</v>
      </c>
      <c r="B84" s="8">
        <v>46261.09583333333</v>
      </c>
      <c r="C84" s="6" t="s">
        <v>349</v>
      </c>
      <c r="D84" s="6" t="s">
        <v>96</v>
      </c>
      <c r="E84" s="6" t="s">
        <v>16</v>
      </c>
      <c r="F84" s="6">
        <v>2.0</v>
      </c>
      <c r="G84" s="9">
        <v>31980.0</v>
      </c>
      <c r="H84" s="6" t="s">
        <v>31</v>
      </c>
      <c r="I84" s="6" t="s">
        <v>39</v>
      </c>
    </row>
    <row r="85" ht="21.0" customHeight="1">
      <c r="A85" s="6" t="s">
        <v>270</v>
      </c>
      <c r="B85" s="8">
        <v>46261.225</v>
      </c>
      <c r="C85" s="6" t="s">
        <v>352</v>
      </c>
      <c r="D85" s="6" t="s">
        <v>119</v>
      </c>
      <c r="E85" s="6" t="s">
        <v>14</v>
      </c>
      <c r="F85" s="6">
        <v>1.0</v>
      </c>
      <c r="G85" s="9">
        <v>24990.0</v>
      </c>
      <c r="H85" s="6" t="s">
        <v>121</v>
      </c>
      <c r="I85" s="6" t="s">
        <v>39</v>
      </c>
    </row>
    <row r="86" ht="21.0" customHeight="1">
      <c r="A86" s="6" t="s">
        <v>273</v>
      </c>
      <c r="B86" s="8">
        <v>46261.354166666664</v>
      </c>
      <c r="C86" s="6" t="s">
        <v>356</v>
      </c>
      <c r="D86" s="6" t="s">
        <v>35</v>
      </c>
      <c r="E86" s="6" t="s">
        <v>18</v>
      </c>
      <c r="F86" s="6">
        <v>1.0</v>
      </c>
      <c r="G86" s="9">
        <v>12990.0</v>
      </c>
      <c r="H86" s="6" t="s">
        <v>121</v>
      </c>
      <c r="I86" s="6" t="s">
        <v>39</v>
      </c>
    </row>
    <row r="87" ht="21.0" customHeight="1">
      <c r="A87" s="6" t="s">
        <v>275</v>
      </c>
      <c r="B87" s="8">
        <v>46261.48333333333</v>
      </c>
      <c r="C87" s="6" t="s">
        <v>360</v>
      </c>
      <c r="D87" s="6" t="s">
        <v>55</v>
      </c>
      <c r="E87" s="6" t="s">
        <v>21</v>
      </c>
      <c r="F87" s="6">
        <v>2.0</v>
      </c>
      <c r="G87" s="9">
        <v>39980.0</v>
      </c>
      <c r="H87" s="6" t="s">
        <v>47</v>
      </c>
      <c r="I87" s="6" t="s">
        <v>39</v>
      </c>
    </row>
    <row r="88" ht="21.0" customHeight="1">
      <c r="A88" s="6" t="s">
        <v>278</v>
      </c>
      <c r="B88" s="8">
        <v>46261.6125</v>
      </c>
      <c r="C88" s="6" t="s">
        <v>363</v>
      </c>
      <c r="D88" s="6" t="s">
        <v>55</v>
      </c>
      <c r="E88" s="6" t="s">
        <v>21</v>
      </c>
      <c r="F88" s="6">
        <v>1.0</v>
      </c>
      <c r="G88" s="9">
        <v>19990.0</v>
      </c>
      <c r="H88" s="6" t="s">
        <v>47</v>
      </c>
      <c r="I88" s="6" t="s">
        <v>39</v>
      </c>
    </row>
    <row r="89" ht="21.0" customHeight="1">
      <c r="A89" s="6" t="s">
        <v>281</v>
      </c>
      <c r="B89" s="8">
        <v>46261.74166666667</v>
      </c>
      <c r="C89" s="6" t="s">
        <v>367</v>
      </c>
      <c r="D89" s="6" t="s">
        <v>35</v>
      </c>
      <c r="E89" s="6" t="s">
        <v>18</v>
      </c>
      <c r="F89" s="6">
        <v>1.0</v>
      </c>
      <c r="G89" s="9">
        <v>12990.0</v>
      </c>
      <c r="H89" s="6" t="s">
        <v>47</v>
      </c>
      <c r="I89" s="6" t="s">
        <v>39</v>
      </c>
    </row>
    <row r="90" ht="21.0" customHeight="1">
      <c r="A90" s="6" t="s">
        <v>284</v>
      </c>
      <c r="B90" s="8">
        <v>46261.870833333334</v>
      </c>
      <c r="C90" s="6" t="s">
        <v>371</v>
      </c>
      <c r="D90" s="6" t="s">
        <v>35</v>
      </c>
      <c r="E90" s="6" t="s">
        <v>18</v>
      </c>
      <c r="F90" s="6">
        <v>1.0</v>
      </c>
      <c r="G90" s="9">
        <v>12990.0</v>
      </c>
      <c r="H90" s="6" t="s">
        <v>38</v>
      </c>
      <c r="I90" s="6" t="s">
        <v>39</v>
      </c>
    </row>
    <row r="91" ht="21.0" customHeight="1">
      <c r="A91" s="6" t="s">
        <v>286</v>
      </c>
      <c r="B91" s="8">
        <v>46262.0</v>
      </c>
      <c r="C91" s="6" t="s">
        <v>374</v>
      </c>
      <c r="D91" s="6" t="s">
        <v>55</v>
      </c>
      <c r="E91" s="6" t="s">
        <v>21</v>
      </c>
      <c r="F91" s="6">
        <v>2.0</v>
      </c>
      <c r="G91" s="9">
        <v>39980.0</v>
      </c>
      <c r="H91" s="6" t="s">
        <v>81</v>
      </c>
      <c r="I91" s="6" t="s">
        <v>39</v>
      </c>
    </row>
    <row r="92" ht="21.0" customHeight="1">
      <c r="A92" s="6" t="s">
        <v>289</v>
      </c>
      <c r="B92" s="8">
        <v>46262.129166666666</v>
      </c>
      <c r="C92" s="6" t="s">
        <v>377</v>
      </c>
      <c r="D92" s="6" t="s">
        <v>119</v>
      </c>
      <c r="E92" s="6" t="s">
        <v>14</v>
      </c>
      <c r="F92" s="6">
        <v>1.0</v>
      </c>
      <c r="G92" s="9">
        <v>24990.0</v>
      </c>
      <c r="H92" s="6" t="s">
        <v>31</v>
      </c>
      <c r="I92" s="6" t="s">
        <v>39</v>
      </c>
    </row>
    <row r="93" ht="21.0" customHeight="1">
      <c r="A93" s="6" t="s">
        <v>292</v>
      </c>
      <c r="B93" s="8">
        <v>46262.25833333333</v>
      </c>
      <c r="C93" s="6" t="s">
        <v>381</v>
      </c>
      <c r="D93" s="6" t="s">
        <v>35</v>
      </c>
      <c r="E93" s="6" t="s">
        <v>18</v>
      </c>
      <c r="F93" s="6">
        <v>1.0</v>
      </c>
      <c r="G93" s="9">
        <v>12990.0</v>
      </c>
      <c r="H93" s="6" t="s">
        <v>121</v>
      </c>
      <c r="I93" s="6" t="s">
        <v>39</v>
      </c>
    </row>
    <row r="94" ht="21.0" customHeight="1">
      <c r="A94" s="6" t="s">
        <v>295</v>
      </c>
      <c r="B94" s="8">
        <v>46262.3875</v>
      </c>
      <c r="C94" s="6" t="s">
        <v>385</v>
      </c>
      <c r="D94" s="6" t="s">
        <v>35</v>
      </c>
      <c r="E94" s="6" t="s">
        <v>18</v>
      </c>
      <c r="F94" s="6">
        <v>1.0</v>
      </c>
      <c r="G94" s="9">
        <v>12990.0</v>
      </c>
      <c r="H94" s="6" t="s">
        <v>81</v>
      </c>
      <c r="I94" s="6" t="s">
        <v>39</v>
      </c>
    </row>
    <row r="95" ht="21.0" customHeight="1">
      <c r="A95" s="6" t="s">
        <v>297</v>
      </c>
      <c r="B95" s="8">
        <v>46262.51666666667</v>
      </c>
      <c r="C95" s="6" t="s">
        <v>388</v>
      </c>
      <c r="D95" s="6" t="s">
        <v>44</v>
      </c>
      <c r="E95" s="6" t="s">
        <v>10</v>
      </c>
      <c r="F95" s="6">
        <v>1.0</v>
      </c>
      <c r="G95" s="9">
        <v>8990.0</v>
      </c>
      <c r="H95" s="6" t="s">
        <v>51</v>
      </c>
      <c r="I95" s="6" t="s">
        <v>39</v>
      </c>
    </row>
    <row r="96" ht="21.0" customHeight="1">
      <c r="A96" s="6" t="s">
        <v>300</v>
      </c>
      <c r="B96" s="8">
        <v>46262.645833333336</v>
      </c>
      <c r="C96" s="6" t="s">
        <v>392</v>
      </c>
      <c r="D96" s="6" t="s">
        <v>55</v>
      </c>
      <c r="E96" s="6" t="s">
        <v>21</v>
      </c>
      <c r="F96" s="6">
        <v>1.0</v>
      </c>
      <c r="G96" s="9">
        <v>19990.0</v>
      </c>
      <c r="H96" s="6" t="s">
        <v>81</v>
      </c>
      <c r="I96" s="6" t="s">
        <v>39</v>
      </c>
    </row>
    <row r="97" ht="21.0" customHeight="1">
      <c r="A97" s="6" t="s">
        <v>303</v>
      </c>
      <c r="B97" s="8">
        <v>46262.775</v>
      </c>
      <c r="C97" s="6" t="s">
        <v>396</v>
      </c>
      <c r="D97" s="6" t="s">
        <v>70</v>
      </c>
      <c r="E97" s="6" t="s">
        <v>12</v>
      </c>
      <c r="F97" s="6">
        <v>1.0</v>
      </c>
      <c r="G97" s="9">
        <v>34990.0</v>
      </c>
      <c r="H97" s="6" t="s">
        <v>38</v>
      </c>
      <c r="I97" s="6" t="s">
        <v>39</v>
      </c>
    </row>
    <row r="98" ht="21.0" customHeight="1">
      <c r="A98" s="6" t="s">
        <v>305</v>
      </c>
      <c r="B98" s="8">
        <v>46262.90416666667</v>
      </c>
      <c r="C98" s="6" t="s">
        <v>399</v>
      </c>
      <c r="D98" s="6" t="s">
        <v>119</v>
      </c>
      <c r="E98" s="6" t="s">
        <v>14</v>
      </c>
      <c r="F98" s="6">
        <v>1.0</v>
      </c>
      <c r="G98" s="9">
        <v>24990.0</v>
      </c>
      <c r="H98" s="6" t="s">
        <v>38</v>
      </c>
      <c r="I98" s="6" t="s">
        <v>39</v>
      </c>
    </row>
    <row r="99" ht="21.0" customHeight="1">
      <c r="A99" s="6" t="s">
        <v>308</v>
      </c>
      <c r="B99" s="8">
        <v>46263.03333333333</v>
      </c>
      <c r="C99" s="6" t="s">
        <v>402</v>
      </c>
      <c r="D99" s="6" t="s">
        <v>70</v>
      </c>
      <c r="E99" s="6" t="s">
        <v>12</v>
      </c>
      <c r="F99" s="6">
        <v>1.0</v>
      </c>
      <c r="G99" s="9">
        <v>34990.0</v>
      </c>
      <c r="H99" s="6" t="s">
        <v>121</v>
      </c>
      <c r="I99" s="6" t="s">
        <v>39</v>
      </c>
    </row>
    <row r="100" ht="21.0" customHeight="1">
      <c r="A100" s="6" t="s">
        <v>311</v>
      </c>
      <c r="B100" s="8">
        <v>46263.03611111111</v>
      </c>
      <c r="C100" s="6" t="s">
        <v>402</v>
      </c>
      <c r="D100" s="6" t="s">
        <v>70</v>
      </c>
      <c r="E100" s="6" t="s">
        <v>12</v>
      </c>
      <c r="F100" s="6">
        <v>1.0</v>
      </c>
      <c r="G100" s="9">
        <v>34990.0</v>
      </c>
      <c r="H100" s="6" t="s">
        <v>121</v>
      </c>
      <c r="I100" s="6" t="s">
        <v>39</v>
      </c>
    </row>
    <row r="101" ht="21.0" customHeight="1">
      <c r="A101" s="6" t="s">
        <v>313</v>
      </c>
      <c r="B101" s="8">
        <v>46263.291666666664</v>
      </c>
      <c r="C101" s="6" t="s">
        <v>409</v>
      </c>
      <c r="D101" s="6" t="s">
        <v>96</v>
      </c>
      <c r="E101" s="6" t="s">
        <v>16</v>
      </c>
      <c r="F101" s="6">
        <v>1.0</v>
      </c>
      <c r="G101" s="9">
        <v>15990.0</v>
      </c>
      <c r="H101" s="6" t="s">
        <v>31</v>
      </c>
      <c r="I101" s="6" t="s">
        <v>39</v>
      </c>
    </row>
    <row r="102" ht="21.0" customHeight="1">
      <c r="A102" s="6" t="s">
        <v>316</v>
      </c>
      <c r="B102" s="8">
        <v>46263.42083333333</v>
      </c>
      <c r="C102" s="6" t="s">
        <v>413</v>
      </c>
      <c r="D102" s="6" t="s">
        <v>55</v>
      </c>
      <c r="E102" s="6" t="s">
        <v>21</v>
      </c>
      <c r="F102" s="6">
        <v>3.0</v>
      </c>
      <c r="G102" s="9">
        <v>59970.0</v>
      </c>
      <c r="H102" s="6" t="s">
        <v>81</v>
      </c>
      <c r="I102" s="6" t="s">
        <v>39</v>
      </c>
    </row>
    <row r="103" ht="21.0" customHeight="1">
      <c r="A103" s="6" t="s">
        <v>319</v>
      </c>
      <c r="B103" s="8">
        <v>46263.55</v>
      </c>
      <c r="C103" s="6" t="s">
        <v>417</v>
      </c>
      <c r="D103" s="6" t="s">
        <v>44</v>
      </c>
      <c r="E103" s="6" t="s">
        <v>10</v>
      </c>
      <c r="F103" s="6">
        <v>1.0</v>
      </c>
      <c r="G103" s="9">
        <v>8990.0</v>
      </c>
      <c r="H103" s="6" t="s">
        <v>47</v>
      </c>
      <c r="I103" s="6" t="s">
        <v>39</v>
      </c>
    </row>
    <row r="104" ht="21.0" customHeight="1">
      <c r="A104" s="6" t="s">
        <v>322</v>
      </c>
      <c r="B104" s="8">
        <v>46263.67916666667</v>
      </c>
      <c r="C104" s="6" t="s">
        <v>420</v>
      </c>
      <c r="D104" s="6" t="s">
        <v>44</v>
      </c>
      <c r="E104" s="6" t="s">
        <v>10</v>
      </c>
      <c r="F104" s="6">
        <v>1.0</v>
      </c>
      <c r="G104" s="9">
        <v>8990.0</v>
      </c>
      <c r="H104" s="6" t="s">
        <v>47</v>
      </c>
      <c r="I104" s="6" t="s">
        <v>39</v>
      </c>
    </row>
    <row r="105" ht="21.0" customHeight="1">
      <c r="A105" s="6" t="s">
        <v>325</v>
      </c>
      <c r="B105" s="8">
        <v>46263.808333333334</v>
      </c>
      <c r="C105" s="6" t="s">
        <v>425</v>
      </c>
      <c r="D105" s="6" t="s">
        <v>44</v>
      </c>
      <c r="E105" s="6" t="s">
        <v>10</v>
      </c>
      <c r="F105" s="6">
        <v>1.0</v>
      </c>
      <c r="G105" s="9">
        <v>8990.0</v>
      </c>
      <c r="H105" s="6" t="s">
        <v>121</v>
      </c>
      <c r="I105" s="6" t="s">
        <v>39</v>
      </c>
    </row>
    <row r="106" ht="21.0" customHeight="1">
      <c r="A106" s="6" t="s">
        <v>327</v>
      </c>
      <c r="B106" s="8">
        <v>46263.9375</v>
      </c>
      <c r="C106" s="6" t="s">
        <v>429</v>
      </c>
      <c r="D106" s="6" t="s">
        <v>119</v>
      </c>
      <c r="E106" s="6" t="s">
        <v>14</v>
      </c>
      <c r="F106" s="6">
        <v>1.0</v>
      </c>
      <c r="G106" s="9">
        <v>24990.0</v>
      </c>
      <c r="H106" s="6" t="s">
        <v>121</v>
      </c>
      <c r="I106" s="6" t="s">
        <v>39</v>
      </c>
    </row>
    <row r="107" ht="21.0" customHeight="1">
      <c r="A107" s="6" t="s">
        <v>330</v>
      </c>
      <c r="B107" s="8">
        <v>46264.066666666666</v>
      </c>
      <c r="C107" s="6" t="s">
        <v>432</v>
      </c>
      <c r="D107" s="6" t="s">
        <v>96</v>
      </c>
      <c r="E107" s="6" t="s">
        <v>16</v>
      </c>
      <c r="F107" s="6">
        <v>1.0</v>
      </c>
      <c r="G107" s="9">
        <v>15990.0</v>
      </c>
      <c r="H107" s="6" t="s">
        <v>51</v>
      </c>
      <c r="I107" s="6" t="s">
        <v>39</v>
      </c>
    </row>
    <row r="108" ht="21.0" customHeight="1">
      <c r="A108" s="6" t="s">
        <v>332</v>
      </c>
      <c r="B108" s="8">
        <v>46264.19583333333</v>
      </c>
      <c r="C108" s="6" t="s">
        <v>437</v>
      </c>
      <c r="D108" s="6" t="s">
        <v>96</v>
      </c>
      <c r="E108" s="6" t="s">
        <v>16</v>
      </c>
      <c r="F108" s="6">
        <v>2.0</v>
      </c>
      <c r="G108" s="9">
        <v>31980.0</v>
      </c>
      <c r="H108" s="6" t="s">
        <v>51</v>
      </c>
      <c r="I108" s="6" t="s">
        <v>39</v>
      </c>
    </row>
    <row r="109" ht="21.0" customHeight="1">
      <c r="A109" s="6" t="s">
        <v>335</v>
      </c>
      <c r="B109" s="8">
        <v>46264.325</v>
      </c>
      <c r="C109" s="6" t="s">
        <v>441</v>
      </c>
      <c r="D109" s="6" t="s">
        <v>96</v>
      </c>
      <c r="E109" s="6" t="s">
        <v>16</v>
      </c>
      <c r="F109" s="6">
        <v>1.0</v>
      </c>
      <c r="G109" s="9">
        <v>15990.0</v>
      </c>
      <c r="H109" s="6" t="s">
        <v>51</v>
      </c>
      <c r="I109" s="6" t="s">
        <v>39</v>
      </c>
    </row>
    <row r="110" ht="21.0" customHeight="1">
      <c r="A110" s="6" t="s">
        <v>338</v>
      </c>
      <c r="B110" s="8">
        <v>46264.45416666667</v>
      </c>
      <c r="C110" s="6" t="s">
        <v>444</v>
      </c>
      <c r="D110" s="6" t="s">
        <v>96</v>
      </c>
      <c r="E110" s="6" t="s">
        <v>16</v>
      </c>
      <c r="F110" s="6">
        <v>1.0</v>
      </c>
      <c r="G110" s="9">
        <v>15990.0</v>
      </c>
      <c r="H110" s="6" t="s">
        <v>38</v>
      </c>
      <c r="I110" s="6" t="s">
        <v>39</v>
      </c>
    </row>
    <row r="111" ht="21.0" customHeight="1">
      <c r="A111" s="6" t="s">
        <v>341</v>
      </c>
      <c r="B111" s="8">
        <v>46264.583333333336</v>
      </c>
      <c r="C111" s="6" t="s">
        <v>449</v>
      </c>
      <c r="D111" s="6" t="s">
        <v>55</v>
      </c>
      <c r="E111" s="6" t="s">
        <v>21</v>
      </c>
      <c r="F111" s="6">
        <v>2.0</v>
      </c>
      <c r="G111" s="9">
        <v>39980.0</v>
      </c>
      <c r="H111" s="6" t="s">
        <v>81</v>
      </c>
      <c r="I111" s="6" t="s">
        <v>39</v>
      </c>
    </row>
    <row r="112" ht="21.0" customHeight="1">
      <c r="A112" s="6" t="s">
        <v>343</v>
      </c>
      <c r="B112" s="8">
        <v>46264.7125</v>
      </c>
      <c r="C112" s="6" t="s">
        <v>453</v>
      </c>
      <c r="D112" s="6" t="s">
        <v>44</v>
      </c>
      <c r="E112" s="6" t="s">
        <v>10</v>
      </c>
      <c r="F112" s="6">
        <v>1.0</v>
      </c>
      <c r="G112" s="9">
        <v>8990.0</v>
      </c>
      <c r="H112" s="6" t="s">
        <v>31</v>
      </c>
      <c r="I112" s="6" t="s">
        <v>39</v>
      </c>
    </row>
    <row r="113" ht="21.0" customHeight="1">
      <c r="A113" s="6" t="s">
        <v>346</v>
      </c>
      <c r="B113" s="8">
        <v>46264.84166666667</v>
      </c>
      <c r="C113" s="6" t="s">
        <v>458</v>
      </c>
      <c r="D113" s="6" t="s">
        <v>44</v>
      </c>
      <c r="E113" s="6" t="s">
        <v>10</v>
      </c>
      <c r="F113" s="6">
        <v>2.0</v>
      </c>
      <c r="G113" s="9">
        <v>17980.0</v>
      </c>
      <c r="H113" s="6" t="s">
        <v>81</v>
      </c>
      <c r="I113" s="6" t="s">
        <v>39</v>
      </c>
    </row>
    <row r="114" ht="21.0" customHeight="1">
      <c r="A114" s="6" t="s">
        <v>348</v>
      </c>
      <c r="B114" s="8">
        <v>46264.97083333333</v>
      </c>
      <c r="C114" s="6" t="s">
        <v>465</v>
      </c>
      <c r="D114" s="6" t="s">
        <v>119</v>
      </c>
      <c r="E114" s="6" t="s">
        <v>14</v>
      </c>
      <c r="F114" s="6">
        <v>1.0</v>
      </c>
      <c r="G114" s="9">
        <v>24990.0</v>
      </c>
      <c r="H114" s="6" t="s">
        <v>31</v>
      </c>
      <c r="I114" s="6" t="s">
        <v>39</v>
      </c>
    </row>
    <row r="115" ht="21.0" customHeight="1">
      <c r="A115" s="6" t="s">
        <v>351</v>
      </c>
      <c r="B115" s="8">
        <v>46265.1</v>
      </c>
      <c r="C115" s="6" t="s">
        <v>468</v>
      </c>
      <c r="D115" s="6" t="s">
        <v>44</v>
      </c>
      <c r="E115" s="6" t="s">
        <v>10</v>
      </c>
      <c r="F115" s="6">
        <v>1.0</v>
      </c>
      <c r="G115" s="9">
        <v>8990.0</v>
      </c>
      <c r="H115" s="6" t="s">
        <v>31</v>
      </c>
      <c r="I115" s="6" t="s">
        <v>39</v>
      </c>
    </row>
    <row r="116" ht="21.0" customHeight="1">
      <c r="A116" s="6" t="s">
        <v>354</v>
      </c>
      <c r="B116" s="8">
        <v>46265.229166666664</v>
      </c>
      <c r="C116" s="6" t="s">
        <v>471</v>
      </c>
      <c r="D116" s="6" t="s">
        <v>44</v>
      </c>
      <c r="E116" s="6" t="s">
        <v>10</v>
      </c>
      <c r="F116" s="6">
        <v>1.0</v>
      </c>
      <c r="G116" s="9">
        <v>8990.0</v>
      </c>
      <c r="H116" s="6" t="s">
        <v>31</v>
      </c>
      <c r="I116" s="6" t="s">
        <v>39</v>
      </c>
    </row>
    <row r="117" ht="21.0" customHeight="1">
      <c r="A117" s="6" t="s">
        <v>357</v>
      </c>
      <c r="B117" s="8">
        <v>46265.35833333333</v>
      </c>
      <c r="C117" s="6" t="s">
        <v>476</v>
      </c>
      <c r="D117" s="6" t="s">
        <v>70</v>
      </c>
      <c r="E117" s="6" t="s">
        <v>12</v>
      </c>
      <c r="F117" s="6">
        <v>2.0</v>
      </c>
      <c r="G117" s="9">
        <v>69980.0</v>
      </c>
      <c r="H117" s="6" t="s">
        <v>47</v>
      </c>
      <c r="I117" s="6" t="s">
        <v>39</v>
      </c>
    </row>
    <row r="118" ht="21.0" customHeight="1">
      <c r="A118" s="6" t="s">
        <v>359</v>
      </c>
      <c r="B118" s="8">
        <v>46265.4875</v>
      </c>
      <c r="C118" s="6" t="s">
        <v>479</v>
      </c>
      <c r="D118" s="6" t="s">
        <v>70</v>
      </c>
      <c r="E118" s="6" t="s">
        <v>12</v>
      </c>
      <c r="F118" s="6">
        <v>1.0</v>
      </c>
      <c r="G118" s="9">
        <v>34990.0</v>
      </c>
      <c r="H118" s="6" t="s">
        <v>47</v>
      </c>
      <c r="I118" s="6" t="s">
        <v>39</v>
      </c>
    </row>
    <row r="119" ht="21.0" customHeight="1">
      <c r="A119" s="6" t="s">
        <v>362</v>
      </c>
      <c r="B119" s="8">
        <v>46265.61666666667</v>
      </c>
      <c r="C119" s="6" t="s">
        <v>484</v>
      </c>
      <c r="D119" s="6" t="s">
        <v>70</v>
      </c>
      <c r="E119" s="6" t="s">
        <v>12</v>
      </c>
      <c r="F119" s="6">
        <v>1.0</v>
      </c>
      <c r="G119" s="9">
        <v>34990.0</v>
      </c>
      <c r="H119" s="6" t="s">
        <v>51</v>
      </c>
      <c r="I119" s="6" t="s">
        <v>39</v>
      </c>
    </row>
    <row r="120" ht="21.0" customHeight="1">
      <c r="A120" s="6" t="s">
        <v>365</v>
      </c>
      <c r="B120" s="8">
        <v>46265.745833333334</v>
      </c>
      <c r="C120" s="6" t="s">
        <v>488</v>
      </c>
      <c r="D120" s="6" t="s">
        <v>119</v>
      </c>
      <c r="E120" s="6" t="s">
        <v>14</v>
      </c>
      <c r="F120" s="6">
        <v>2.0</v>
      </c>
      <c r="G120" s="9">
        <v>49980.0</v>
      </c>
      <c r="H120" s="6" t="s">
        <v>47</v>
      </c>
      <c r="I120" s="6" t="s">
        <v>39</v>
      </c>
    </row>
    <row r="121" ht="21.0" customHeight="1">
      <c r="A121" s="6" t="s">
        <v>368</v>
      </c>
      <c r="B121" s="8">
        <v>46265.875</v>
      </c>
      <c r="C121" s="6" t="s">
        <v>491</v>
      </c>
      <c r="D121" s="6" t="s">
        <v>70</v>
      </c>
      <c r="E121" s="6" t="s">
        <v>12</v>
      </c>
      <c r="F121" s="6">
        <v>1.0</v>
      </c>
      <c r="G121" s="9">
        <v>34990.0</v>
      </c>
      <c r="H121" s="6" t="s">
        <v>121</v>
      </c>
      <c r="I121" s="6" t="s">
        <v>39</v>
      </c>
    </row>
    <row r="122" ht="21.0" customHeight="1">
      <c r="A122" s="6" t="s">
        <v>370</v>
      </c>
      <c r="B122" s="8">
        <v>46266.004166666666</v>
      </c>
      <c r="C122" s="6" t="s">
        <v>494</v>
      </c>
      <c r="D122" s="6" t="s">
        <v>119</v>
      </c>
      <c r="E122" s="6" t="s">
        <v>14</v>
      </c>
      <c r="F122" s="6">
        <v>1.0</v>
      </c>
      <c r="G122" s="9">
        <v>24990.0</v>
      </c>
      <c r="H122" s="6" t="s">
        <v>38</v>
      </c>
      <c r="I122" s="6" t="s">
        <v>39</v>
      </c>
    </row>
    <row r="123" ht="21.0" customHeight="1">
      <c r="A123" s="6" t="s">
        <v>373</v>
      </c>
      <c r="B123" s="8">
        <v>46266.13333333333</v>
      </c>
      <c r="C123" s="6" t="s">
        <v>497</v>
      </c>
      <c r="D123" s="6" t="s">
        <v>96</v>
      </c>
      <c r="E123" s="6" t="s">
        <v>16</v>
      </c>
      <c r="F123" s="6">
        <v>3.0</v>
      </c>
      <c r="G123" s="9">
        <v>47970.0</v>
      </c>
      <c r="H123" s="6" t="s">
        <v>121</v>
      </c>
      <c r="I123" s="6" t="s">
        <v>39</v>
      </c>
    </row>
    <row r="124" ht="21.0" customHeight="1">
      <c r="A124" s="6" t="s">
        <v>376</v>
      </c>
      <c r="B124" s="8">
        <v>46266.2625</v>
      </c>
      <c r="C124" s="6" t="s">
        <v>500</v>
      </c>
      <c r="D124" s="6" t="s">
        <v>70</v>
      </c>
      <c r="E124" s="6" t="s">
        <v>12</v>
      </c>
      <c r="F124" s="6">
        <v>1.0</v>
      </c>
      <c r="G124" s="9">
        <v>34990.0</v>
      </c>
      <c r="H124" s="6" t="s">
        <v>51</v>
      </c>
      <c r="I124" s="6" t="s">
        <v>39</v>
      </c>
    </row>
    <row r="125" ht="21.0" customHeight="1">
      <c r="A125" s="6" t="s">
        <v>379</v>
      </c>
      <c r="B125" s="8">
        <v>46266.39166666667</v>
      </c>
      <c r="C125" s="6" t="s">
        <v>513</v>
      </c>
      <c r="D125" s="6" t="s">
        <v>96</v>
      </c>
      <c r="E125" s="6" t="s">
        <v>16</v>
      </c>
      <c r="F125" s="6">
        <v>1.0</v>
      </c>
      <c r="G125" s="9">
        <v>15990.0</v>
      </c>
      <c r="H125" s="6" t="s">
        <v>121</v>
      </c>
      <c r="I125" s="6" t="s">
        <v>39</v>
      </c>
    </row>
    <row r="126" ht="21.0" customHeight="1">
      <c r="A126" s="6" t="s">
        <v>382</v>
      </c>
      <c r="B126" s="8">
        <v>46266.520833333336</v>
      </c>
      <c r="C126" s="6" t="s">
        <v>524</v>
      </c>
      <c r="D126" s="6" t="s">
        <v>55</v>
      </c>
      <c r="E126" s="6" t="s">
        <v>21</v>
      </c>
      <c r="F126" s="6">
        <v>2.0</v>
      </c>
      <c r="G126" s="9">
        <v>39980.0</v>
      </c>
      <c r="H126" s="6" t="s">
        <v>121</v>
      </c>
      <c r="I126" s="6" t="s">
        <v>39</v>
      </c>
    </row>
    <row r="127" ht="21.0" customHeight="1">
      <c r="A127" s="6" t="s">
        <v>384</v>
      </c>
      <c r="B127" s="8">
        <v>46266.65</v>
      </c>
      <c r="C127" s="6" t="s">
        <v>532</v>
      </c>
      <c r="D127" s="6" t="s">
        <v>55</v>
      </c>
      <c r="E127" s="6" t="s">
        <v>21</v>
      </c>
      <c r="F127" s="6">
        <v>1.0</v>
      </c>
      <c r="G127" s="9">
        <v>19990.0</v>
      </c>
      <c r="H127" s="6" t="s">
        <v>51</v>
      </c>
      <c r="I127" s="6" t="s">
        <v>39</v>
      </c>
    </row>
    <row r="128" ht="21.0" customHeight="1">
      <c r="A128" s="6" t="s">
        <v>387</v>
      </c>
      <c r="B128" s="8">
        <v>46266.77916666667</v>
      </c>
      <c r="C128" s="6" t="s">
        <v>540</v>
      </c>
      <c r="D128" s="6" t="s">
        <v>96</v>
      </c>
      <c r="E128" s="6" t="s">
        <v>16</v>
      </c>
      <c r="F128" s="6">
        <v>1.0</v>
      </c>
      <c r="G128" s="9">
        <v>15990.0</v>
      </c>
      <c r="H128" s="6" t="s">
        <v>51</v>
      </c>
      <c r="I128" s="6" t="s">
        <v>39</v>
      </c>
    </row>
    <row r="129" ht="21.0" customHeight="1">
      <c r="A129" s="6" t="s">
        <v>390</v>
      </c>
      <c r="B129" s="8">
        <v>46266.90833333333</v>
      </c>
      <c r="C129" s="6" t="s">
        <v>545</v>
      </c>
      <c r="D129" s="6" t="s">
        <v>70</v>
      </c>
      <c r="E129" s="6" t="s">
        <v>12</v>
      </c>
      <c r="F129" s="6">
        <v>2.0</v>
      </c>
      <c r="G129" s="9">
        <v>69980.0</v>
      </c>
      <c r="H129" s="6" t="s">
        <v>31</v>
      </c>
      <c r="I129" s="6" t="s">
        <v>39</v>
      </c>
    </row>
    <row r="130" ht="21.0" customHeight="1">
      <c r="A130" s="6" t="s">
        <v>393</v>
      </c>
      <c r="B130" s="8">
        <v>46267.0375</v>
      </c>
      <c r="C130" s="6" t="s">
        <v>550</v>
      </c>
      <c r="D130" s="6" t="s">
        <v>70</v>
      </c>
      <c r="E130" s="6" t="s">
        <v>12</v>
      </c>
      <c r="F130" s="6">
        <v>1.0</v>
      </c>
      <c r="G130" s="9">
        <v>34990.0</v>
      </c>
      <c r="H130" s="6" t="s">
        <v>121</v>
      </c>
      <c r="I130" s="6" t="s">
        <v>39</v>
      </c>
    </row>
    <row r="131" ht="21.0" customHeight="1">
      <c r="A131" s="6" t="s">
        <v>395</v>
      </c>
      <c r="B131" s="8">
        <v>46267.04027777778</v>
      </c>
      <c r="C131" s="6" t="s">
        <v>550</v>
      </c>
      <c r="D131" s="6" t="s">
        <v>70</v>
      </c>
      <c r="E131" s="6" t="s">
        <v>12</v>
      </c>
      <c r="F131" s="6">
        <v>1.0</v>
      </c>
      <c r="G131" s="9">
        <v>34990.0</v>
      </c>
      <c r="H131" s="6" t="s">
        <v>121</v>
      </c>
      <c r="I131" s="6" t="s">
        <v>39</v>
      </c>
    </row>
    <row r="132" ht="21.0" customHeight="1">
      <c r="A132" s="6" t="s">
        <v>398</v>
      </c>
      <c r="B132" s="8">
        <v>46267.29583333333</v>
      </c>
      <c r="C132" s="6" t="s">
        <v>553</v>
      </c>
      <c r="D132" s="6" t="s">
        <v>96</v>
      </c>
      <c r="E132" s="6" t="s">
        <v>16</v>
      </c>
      <c r="F132" s="6">
        <v>1.0</v>
      </c>
      <c r="G132" s="9">
        <v>15990.0</v>
      </c>
      <c r="H132" s="6" t="s">
        <v>47</v>
      </c>
      <c r="I132" s="6" t="s">
        <v>39</v>
      </c>
    </row>
    <row r="133" ht="21.0" customHeight="1">
      <c r="A133" s="6" t="s">
        <v>401</v>
      </c>
      <c r="B133" s="8">
        <v>46267.425</v>
      </c>
      <c r="C133" s="6" t="s">
        <v>558</v>
      </c>
      <c r="D133" s="6" t="s">
        <v>44</v>
      </c>
      <c r="E133" s="6" t="s">
        <v>10</v>
      </c>
      <c r="F133" s="6">
        <v>1.0</v>
      </c>
      <c r="G133" s="9">
        <v>8990.0</v>
      </c>
      <c r="H133" s="6" t="s">
        <v>38</v>
      </c>
      <c r="I133" s="6" t="s">
        <v>39</v>
      </c>
    </row>
    <row r="134" ht="21.0" customHeight="1">
      <c r="A134" s="6" t="s">
        <v>404</v>
      </c>
      <c r="B134" s="8">
        <v>46267.55416666667</v>
      </c>
      <c r="C134" s="6" t="s">
        <v>563</v>
      </c>
      <c r="D134" s="6" t="s">
        <v>119</v>
      </c>
      <c r="E134" s="6" t="s">
        <v>14</v>
      </c>
      <c r="F134" s="6">
        <v>1.0</v>
      </c>
      <c r="G134" s="9">
        <v>24990.0</v>
      </c>
      <c r="H134" s="6" t="s">
        <v>121</v>
      </c>
      <c r="I134" s="6" t="s">
        <v>39</v>
      </c>
    </row>
    <row r="135" ht="21.0" customHeight="1">
      <c r="A135" s="6" t="s">
        <v>406</v>
      </c>
      <c r="B135" s="8">
        <v>46267.683333333334</v>
      </c>
      <c r="C135" s="6" t="s">
        <v>569</v>
      </c>
      <c r="D135" s="6" t="s">
        <v>35</v>
      </c>
      <c r="E135" s="6" t="s">
        <v>18</v>
      </c>
      <c r="F135" s="6">
        <v>1.0</v>
      </c>
      <c r="G135" s="9">
        <v>12990.0</v>
      </c>
      <c r="H135" s="6" t="s">
        <v>31</v>
      </c>
      <c r="I135" s="6" t="s">
        <v>39</v>
      </c>
    </row>
    <row r="136" ht="21.0" customHeight="1">
      <c r="A136" s="6" t="s">
        <v>408</v>
      </c>
      <c r="B136" s="8">
        <v>46267.8125</v>
      </c>
      <c r="C136" s="6" t="s">
        <v>574</v>
      </c>
      <c r="D136" s="6" t="s">
        <v>119</v>
      </c>
      <c r="E136" s="6" t="s">
        <v>14</v>
      </c>
      <c r="F136" s="6">
        <v>2.0</v>
      </c>
      <c r="G136" s="9">
        <v>49980.0</v>
      </c>
      <c r="H136" s="6" t="s">
        <v>38</v>
      </c>
      <c r="I136" s="6" t="s">
        <v>39</v>
      </c>
    </row>
    <row r="137" ht="21.0" customHeight="1">
      <c r="A137" s="6" t="s">
        <v>411</v>
      </c>
      <c r="B137" s="8">
        <v>46267.941666666666</v>
      </c>
      <c r="C137" s="6" t="s">
        <v>580</v>
      </c>
      <c r="D137" s="6" t="s">
        <v>35</v>
      </c>
      <c r="E137" s="6" t="s">
        <v>18</v>
      </c>
      <c r="F137" s="6">
        <v>2.0</v>
      </c>
      <c r="G137" s="9">
        <v>25980.0</v>
      </c>
      <c r="H137" s="6" t="s">
        <v>81</v>
      </c>
      <c r="I137" s="6" t="s">
        <v>39</v>
      </c>
    </row>
    <row r="138" ht="21.0" customHeight="1">
      <c r="A138" s="6" t="s">
        <v>414</v>
      </c>
      <c r="B138" s="8">
        <v>46268.07083333333</v>
      </c>
      <c r="C138" s="6" t="s">
        <v>592</v>
      </c>
      <c r="D138" s="6" t="s">
        <v>35</v>
      </c>
      <c r="E138" s="6" t="s">
        <v>18</v>
      </c>
      <c r="F138" s="6">
        <v>1.0</v>
      </c>
      <c r="G138" s="9">
        <v>12990.0</v>
      </c>
      <c r="H138" s="6" t="s">
        <v>51</v>
      </c>
      <c r="I138" s="6" t="s">
        <v>39</v>
      </c>
    </row>
    <row r="139" ht="21.0" customHeight="1">
      <c r="A139" s="6" t="s">
        <v>416</v>
      </c>
      <c r="B139" s="8">
        <v>46268.2</v>
      </c>
      <c r="C139" s="6" t="s">
        <v>600</v>
      </c>
      <c r="D139" s="6" t="s">
        <v>119</v>
      </c>
      <c r="E139" s="6" t="s">
        <v>14</v>
      </c>
      <c r="F139" s="6">
        <v>2.0</v>
      </c>
      <c r="G139" s="9">
        <v>49980.0</v>
      </c>
      <c r="H139" s="6" t="s">
        <v>121</v>
      </c>
      <c r="I139" s="6" t="s">
        <v>39</v>
      </c>
    </row>
    <row r="140" ht="21.0" customHeight="1">
      <c r="A140" s="6" t="s">
        <v>419</v>
      </c>
      <c r="B140" s="8">
        <v>46268.32916666667</v>
      </c>
      <c r="C140" s="6" t="s">
        <v>606</v>
      </c>
      <c r="D140" s="6" t="s">
        <v>35</v>
      </c>
      <c r="E140" s="6" t="s">
        <v>18</v>
      </c>
      <c r="F140" s="6">
        <v>1.0</v>
      </c>
      <c r="G140" s="9">
        <v>12990.0</v>
      </c>
      <c r="H140" s="6" t="s">
        <v>81</v>
      </c>
      <c r="I140" s="6" t="s">
        <v>39</v>
      </c>
    </row>
    <row r="141" ht="21.0" customHeight="1">
      <c r="A141" s="6" t="s">
        <v>422</v>
      </c>
      <c r="B141" s="8">
        <v>46268.458333333336</v>
      </c>
      <c r="C141" s="6" t="s">
        <v>611</v>
      </c>
      <c r="D141" s="6" t="s">
        <v>70</v>
      </c>
      <c r="E141" s="6" t="s">
        <v>12</v>
      </c>
      <c r="F141" s="6">
        <v>1.0</v>
      </c>
      <c r="G141" s="9">
        <v>34990.0</v>
      </c>
      <c r="H141" s="6" t="s">
        <v>51</v>
      </c>
      <c r="I141" s="6" t="s">
        <v>39</v>
      </c>
    </row>
    <row r="142" ht="21.0" customHeight="1">
      <c r="A142" s="6" t="s">
        <v>426</v>
      </c>
      <c r="B142" s="8">
        <v>46268.5875</v>
      </c>
      <c r="C142" s="6" t="s">
        <v>616</v>
      </c>
      <c r="D142" s="6" t="s">
        <v>55</v>
      </c>
      <c r="E142" s="6" t="s">
        <v>21</v>
      </c>
      <c r="F142" s="6">
        <v>1.0</v>
      </c>
      <c r="G142" s="9">
        <v>19990.0</v>
      </c>
      <c r="H142" s="6" t="s">
        <v>81</v>
      </c>
      <c r="I142" s="6" t="s">
        <v>39</v>
      </c>
    </row>
    <row r="143" ht="21.0" customHeight="1">
      <c r="A143" s="6" t="s">
        <v>428</v>
      </c>
      <c r="B143" s="8">
        <v>46268.71666666667</v>
      </c>
      <c r="C143" s="6" t="s">
        <v>622</v>
      </c>
      <c r="D143" s="6" t="s">
        <v>70</v>
      </c>
      <c r="E143" s="6" t="s">
        <v>12</v>
      </c>
      <c r="F143" s="6">
        <v>1.0</v>
      </c>
      <c r="G143" s="9">
        <v>34990.0</v>
      </c>
      <c r="H143" s="6" t="s">
        <v>121</v>
      </c>
      <c r="I143" s="6" t="s">
        <v>39</v>
      </c>
    </row>
    <row r="144" ht="21.0" customHeight="1">
      <c r="A144" s="6" t="s">
        <v>431</v>
      </c>
      <c r="B144" s="8">
        <v>46268.84583333333</v>
      </c>
      <c r="C144" s="6" t="s">
        <v>626</v>
      </c>
      <c r="D144" s="6" t="s">
        <v>35</v>
      </c>
      <c r="E144" s="6" t="s">
        <v>18</v>
      </c>
      <c r="F144" s="6">
        <v>1.0</v>
      </c>
      <c r="G144" s="9">
        <v>12990.0</v>
      </c>
      <c r="H144" s="6" t="s">
        <v>121</v>
      </c>
      <c r="I144" s="6" t="s">
        <v>39</v>
      </c>
    </row>
    <row r="145" ht="21.0" customHeight="1">
      <c r="A145" s="6" t="s">
        <v>434</v>
      </c>
      <c r="B145" s="8">
        <v>46268.975</v>
      </c>
      <c r="C145" s="6" t="s">
        <v>631</v>
      </c>
      <c r="D145" s="6" t="s">
        <v>35</v>
      </c>
      <c r="E145" s="6" t="s">
        <v>18</v>
      </c>
      <c r="F145" s="6">
        <v>1.0</v>
      </c>
      <c r="G145" s="9">
        <v>12990.0</v>
      </c>
      <c r="H145" s="6" t="s">
        <v>47</v>
      </c>
      <c r="I145" s="6" t="s">
        <v>39</v>
      </c>
    </row>
    <row r="146" ht="21.0" customHeight="1">
      <c r="A146" s="6" t="s">
        <v>438</v>
      </c>
      <c r="B146" s="8">
        <v>46269.104166666664</v>
      </c>
      <c r="C146" s="6" t="s">
        <v>636</v>
      </c>
      <c r="D146" s="6" t="s">
        <v>44</v>
      </c>
      <c r="E146" s="6" t="s">
        <v>10</v>
      </c>
      <c r="F146" s="6">
        <v>1.0</v>
      </c>
      <c r="G146" s="9">
        <v>8990.0</v>
      </c>
      <c r="H146" s="6" t="s">
        <v>121</v>
      </c>
      <c r="I146" s="6" t="s">
        <v>39</v>
      </c>
    </row>
    <row r="147" ht="21.0" customHeight="1">
      <c r="A147" s="6" t="s">
        <v>440</v>
      </c>
      <c r="B147" s="8">
        <v>46269.23333333333</v>
      </c>
      <c r="C147" s="6" t="s">
        <v>641</v>
      </c>
      <c r="D147" s="6" t="s">
        <v>119</v>
      </c>
      <c r="E147" s="6" t="s">
        <v>14</v>
      </c>
      <c r="F147" s="6">
        <v>2.0</v>
      </c>
      <c r="G147" s="9">
        <v>49980.0</v>
      </c>
      <c r="H147" s="6" t="s">
        <v>38</v>
      </c>
      <c r="I147" s="6" t="s">
        <v>39</v>
      </c>
    </row>
    <row r="148" ht="21.0" customHeight="1">
      <c r="A148" s="6" t="s">
        <v>443</v>
      </c>
      <c r="B148" s="8">
        <v>46269.3625</v>
      </c>
      <c r="C148" s="6" t="s">
        <v>646</v>
      </c>
      <c r="D148" s="6" t="s">
        <v>96</v>
      </c>
      <c r="E148" s="6" t="s">
        <v>16</v>
      </c>
      <c r="F148" s="6">
        <v>1.0</v>
      </c>
      <c r="G148" s="9">
        <v>15990.0</v>
      </c>
      <c r="H148" s="6" t="s">
        <v>38</v>
      </c>
      <c r="I148" s="6" t="s">
        <v>39</v>
      </c>
    </row>
    <row r="149" ht="21.0" customHeight="1">
      <c r="A149" s="6" t="s">
        <v>446</v>
      </c>
      <c r="B149" s="8">
        <v>46269.49166666667</v>
      </c>
      <c r="C149" s="6" t="s">
        <v>649</v>
      </c>
      <c r="D149" s="6" t="s">
        <v>70</v>
      </c>
      <c r="E149" s="6" t="s">
        <v>12</v>
      </c>
      <c r="F149" s="6">
        <v>1.0</v>
      </c>
      <c r="G149" s="9">
        <v>34990.0</v>
      </c>
      <c r="H149" s="6" t="s">
        <v>31</v>
      </c>
      <c r="I149" s="6" t="s">
        <v>39</v>
      </c>
    </row>
    <row r="150" ht="21.0" customHeight="1">
      <c r="A150" s="6" t="s">
        <v>448</v>
      </c>
      <c r="B150" s="8">
        <v>46269.620833333334</v>
      </c>
      <c r="C150" s="6" t="s">
        <v>654</v>
      </c>
      <c r="D150" s="6" t="s">
        <v>55</v>
      </c>
      <c r="E150" s="6" t="s">
        <v>21</v>
      </c>
      <c r="F150" s="6">
        <v>1.0</v>
      </c>
      <c r="G150" s="9">
        <v>19990.0</v>
      </c>
      <c r="H150" s="6" t="s">
        <v>81</v>
      </c>
      <c r="I150" s="6" t="s">
        <v>39</v>
      </c>
    </row>
    <row r="151" ht="21.0" customHeight="1">
      <c r="A151" s="6" t="s">
        <v>451</v>
      </c>
      <c r="B151" s="8">
        <v>46269.75</v>
      </c>
      <c r="C151" s="6" t="s">
        <v>659</v>
      </c>
      <c r="D151" s="6" t="s">
        <v>35</v>
      </c>
      <c r="E151" s="6" t="s">
        <v>18</v>
      </c>
      <c r="F151" s="6">
        <v>1.0</v>
      </c>
      <c r="G151" s="9">
        <v>12990.0</v>
      </c>
      <c r="H151" s="6" t="s">
        <v>38</v>
      </c>
      <c r="I151" s="6" t="s">
        <v>39</v>
      </c>
    </row>
    <row r="152" ht="21.0" customHeight="1">
      <c r="A152" s="6" t="s">
        <v>456</v>
      </c>
      <c r="B152" s="8">
        <v>46269.879166666666</v>
      </c>
      <c r="C152" s="6" t="s">
        <v>664</v>
      </c>
      <c r="D152" s="6" t="s">
        <v>44</v>
      </c>
      <c r="E152" s="6" t="s">
        <v>10</v>
      </c>
      <c r="F152" s="6">
        <v>2.0</v>
      </c>
      <c r="G152" s="9">
        <v>17980.0</v>
      </c>
      <c r="H152" s="6" t="s">
        <v>31</v>
      </c>
      <c r="I152" s="6" t="s">
        <v>39</v>
      </c>
    </row>
    <row r="153" ht="21.0" customHeight="1">
      <c r="A153" s="6" t="s">
        <v>461</v>
      </c>
      <c r="B153" s="8">
        <v>46270.00833333333</v>
      </c>
      <c r="C153" s="6" t="s">
        <v>669</v>
      </c>
      <c r="D153" s="6" t="s">
        <v>70</v>
      </c>
      <c r="E153" s="6" t="s">
        <v>12</v>
      </c>
      <c r="F153" s="6">
        <v>1.0</v>
      </c>
      <c r="G153" s="9">
        <v>34990.0</v>
      </c>
      <c r="H153" s="6" t="s">
        <v>31</v>
      </c>
      <c r="I153" s="6" t="s">
        <v>39</v>
      </c>
    </row>
    <row r="154" ht="21.0" customHeight="1">
      <c r="A154" s="6" t="s">
        <v>464</v>
      </c>
      <c r="B154" s="8">
        <v>46270.1375</v>
      </c>
      <c r="C154" s="6" t="s">
        <v>674</v>
      </c>
      <c r="D154" s="6" t="s">
        <v>70</v>
      </c>
      <c r="E154" s="6" t="s">
        <v>12</v>
      </c>
      <c r="F154" s="6">
        <v>1.0</v>
      </c>
      <c r="G154" s="9">
        <v>34990.0</v>
      </c>
      <c r="H154" s="6" t="s">
        <v>38</v>
      </c>
      <c r="I154" s="6" t="s">
        <v>39</v>
      </c>
    </row>
    <row r="155" ht="21.0" customHeight="1">
      <c r="A155" s="6" t="s">
        <v>467</v>
      </c>
      <c r="B155" s="8">
        <v>46270.26666666667</v>
      </c>
      <c r="C155" s="6" t="s">
        <v>680</v>
      </c>
      <c r="D155" s="6" t="s">
        <v>70</v>
      </c>
      <c r="E155" s="6" t="s">
        <v>12</v>
      </c>
      <c r="F155" s="6">
        <v>1.0</v>
      </c>
      <c r="G155" s="9">
        <v>34990.0</v>
      </c>
      <c r="H155" s="6" t="s">
        <v>121</v>
      </c>
      <c r="I155" s="6" t="s">
        <v>39</v>
      </c>
    </row>
    <row r="156" ht="21.0" customHeight="1">
      <c r="A156" s="6" t="s">
        <v>470</v>
      </c>
      <c r="B156" s="8">
        <v>46270.395833333336</v>
      </c>
      <c r="C156" s="6" t="s">
        <v>685</v>
      </c>
      <c r="D156" s="6" t="s">
        <v>96</v>
      </c>
      <c r="E156" s="6" t="s">
        <v>16</v>
      </c>
      <c r="F156" s="6">
        <v>1.0</v>
      </c>
      <c r="G156" s="9">
        <v>15990.0</v>
      </c>
      <c r="H156" s="6" t="s">
        <v>47</v>
      </c>
      <c r="I156" s="6" t="s">
        <v>39</v>
      </c>
    </row>
    <row r="157" ht="21.0" customHeight="1">
      <c r="A157" s="6" t="s">
        <v>473</v>
      </c>
      <c r="B157" s="8">
        <v>46270.525</v>
      </c>
      <c r="C157" s="6" t="s">
        <v>690</v>
      </c>
      <c r="D157" s="6" t="s">
        <v>55</v>
      </c>
      <c r="E157" s="6" t="s">
        <v>21</v>
      </c>
      <c r="F157" s="6">
        <v>1.0</v>
      </c>
      <c r="G157" s="9">
        <v>19990.0</v>
      </c>
      <c r="H157" s="6" t="s">
        <v>47</v>
      </c>
      <c r="I157" s="6" t="s">
        <v>39</v>
      </c>
    </row>
    <row r="158" ht="21.0" customHeight="1">
      <c r="A158" s="6" t="s">
        <v>475</v>
      </c>
      <c r="B158" s="8">
        <v>46270.65416666667</v>
      </c>
      <c r="C158" s="6" t="s">
        <v>694</v>
      </c>
      <c r="D158" s="6" t="s">
        <v>96</v>
      </c>
      <c r="E158" s="6" t="s">
        <v>16</v>
      </c>
      <c r="F158" s="6">
        <v>1.0</v>
      </c>
      <c r="G158" s="9">
        <v>15990.0</v>
      </c>
      <c r="H158" s="6" t="s">
        <v>51</v>
      </c>
      <c r="I158" s="6" t="s">
        <v>39</v>
      </c>
    </row>
    <row r="159" ht="21.0" customHeight="1">
      <c r="A159" s="6" t="s">
        <v>478</v>
      </c>
      <c r="B159" s="8">
        <v>46270.78333333333</v>
      </c>
      <c r="C159" s="6" t="s">
        <v>698</v>
      </c>
      <c r="D159" s="6" t="s">
        <v>96</v>
      </c>
      <c r="E159" s="6" t="s">
        <v>16</v>
      </c>
      <c r="F159" s="6">
        <v>2.0</v>
      </c>
      <c r="G159" s="9">
        <v>31980.0</v>
      </c>
      <c r="H159" s="6" t="s">
        <v>81</v>
      </c>
      <c r="I159" s="6" t="s">
        <v>39</v>
      </c>
    </row>
    <row r="160" ht="21.0" customHeight="1">
      <c r="A160" s="6" t="s">
        <v>481</v>
      </c>
      <c r="B160" s="8">
        <v>46270.9125</v>
      </c>
      <c r="C160" s="6" t="s">
        <v>703</v>
      </c>
      <c r="D160" s="6" t="s">
        <v>119</v>
      </c>
      <c r="E160" s="6" t="s">
        <v>14</v>
      </c>
      <c r="F160" s="6">
        <v>1.0</v>
      </c>
      <c r="G160" s="9">
        <v>24990.0</v>
      </c>
      <c r="H160" s="6" t="s">
        <v>51</v>
      </c>
      <c r="I160" s="6" t="s">
        <v>39</v>
      </c>
    </row>
    <row r="161" ht="21.0" customHeight="1">
      <c r="A161" s="6" t="s">
        <v>483</v>
      </c>
      <c r="B161" s="8">
        <v>46271.041666666664</v>
      </c>
      <c r="C161" s="6" t="s">
        <v>708</v>
      </c>
      <c r="D161" s="6" t="s">
        <v>55</v>
      </c>
      <c r="E161" s="6" t="s">
        <v>21</v>
      </c>
      <c r="F161" s="6">
        <v>1.0</v>
      </c>
      <c r="G161" s="9">
        <v>19990.0</v>
      </c>
      <c r="H161" s="6" t="s">
        <v>51</v>
      </c>
      <c r="I161" s="6" t="s">
        <v>39</v>
      </c>
    </row>
    <row r="162" ht="21.0" customHeight="1">
      <c r="A162" s="6" t="s">
        <v>487</v>
      </c>
      <c r="B162" s="8">
        <v>46271.17083333333</v>
      </c>
      <c r="C162" s="6" t="s">
        <v>713</v>
      </c>
      <c r="D162" s="6" t="s">
        <v>70</v>
      </c>
      <c r="E162" s="6" t="s">
        <v>12</v>
      </c>
      <c r="F162" s="6">
        <v>1.0</v>
      </c>
      <c r="G162" s="9">
        <v>34990.0</v>
      </c>
      <c r="H162" s="6" t="s">
        <v>47</v>
      </c>
      <c r="I162" s="6" t="s">
        <v>39</v>
      </c>
    </row>
    <row r="163" ht="21.0" customHeight="1">
      <c r="A163" s="6" t="s">
        <v>490</v>
      </c>
      <c r="B163" s="8">
        <v>46271.3</v>
      </c>
      <c r="C163" s="6" t="s">
        <v>718</v>
      </c>
      <c r="D163" s="6" t="s">
        <v>96</v>
      </c>
      <c r="E163" s="6" t="s">
        <v>16</v>
      </c>
      <c r="F163" s="6">
        <v>1.0</v>
      </c>
      <c r="G163" s="9">
        <v>15990.0</v>
      </c>
      <c r="H163" s="6" t="s">
        <v>121</v>
      </c>
      <c r="I163" s="6" t="s">
        <v>39</v>
      </c>
    </row>
    <row r="164" ht="21.0" customHeight="1">
      <c r="A164" s="6" t="s">
        <v>493</v>
      </c>
      <c r="B164" s="8">
        <v>46271.42916666667</v>
      </c>
      <c r="C164" s="6" t="s">
        <v>723</v>
      </c>
      <c r="D164" s="6" t="s">
        <v>35</v>
      </c>
      <c r="E164" s="6" t="s">
        <v>18</v>
      </c>
      <c r="F164" s="6">
        <v>1.0</v>
      </c>
      <c r="G164" s="9">
        <v>12990.0</v>
      </c>
      <c r="H164" s="6" t="s">
        <v>31</v>
      </c>
      <c r="I164" s="6" t="s">
        <v>39</v>
      </c>
    </row>
    <row r="165" ht="21.0" customHeight="1">
      <c r="A165" s="6" t="s">
        <v>496</v>
      </c>
      <c r="B165" s="8">
        <v>46271.558333333334</v>
      </c>
      <c r="C165" s="6" t="s">
        <v>729</v>
      </c>
      <c r="D165" s="6" t="s">
        <v>70</v>
      </c>
      <c r="E165" s="6" t="s">
        <v>12</v>
      </c>
      <c r="F165" s="6">
        <v>1.0</v>
      </c>
      <c r="G165" s="9">
        <v>34990.0</v>
      </c>
      <c r="H165" s="6" t="s">
        <v>51</v>
      </c>
      <c r="I165" s="6" t="s">
        <v>39</v>
      </c>
    </row>
    <row r="166" ht="21.0" customHeight="1">
      <c r="A166" s="6" t="s">
        <v>499</v>
      </c>
      <c r="B166" s="8">
        <v>46271.561111111114</v>
      </c>
      <c r="C166" s="6" t="s">
        <v>729</v>
      </c>
      <c r="D166" s="6" t="s">
        <v>70</v>
      </c>
      <c r="E166" s="6" t="s">
        <v>12</v>
      </c>
      <c r="F166" s="6">
        <v>1.0</v>
      </c>
      <c r="G166" s="9">
        <v>34990.0</v>
      </c>
      <c r="H166" s="6" t="s">
        <v>51</v>
      </c>
      <c r="I166" s="6" t="s">
        <v>39</v>
      </c>
    </row>
    <row r="167" ht="21.0" customHeight="1">
      <c r="A167" s="6" t="s">
        <v>502</v>
      </c>
      <c r="B167" s="8">
        <v>46271.816666666666</v>
      </c>
      <c r="C167" s="6" t="s">
        <v>739</v>
      </c>
      <c r="D167" s="6" t="s">
        <v>119</v>
      </c>
      <c r="E167" s="6" t="s">
        <v>14</v>
      </c>
      <c r="F167" s="6">
        <v>1.0</v>
      </c>
      <c r="G167" s="9">
        <v>24990.0</v>
      </c>
      <c r="H167" s="6" t="s">
        <v>51</v>
      </c>
      <c r="I167" s="6" t="s">
        <v>39</v>
      </c>
    </row>
    <row r="168" ht="21.0" customHeight="1">
      <c r="A168" s="6" t="s">
        <v>504</v>
      </c>
      <c r="B168" s="8">
        <v>46271.94583333333</v>
      </c>
      <c r="C168" s="6" t="s">
        <v>746</v>
      </c>
      <c r="D168" s="6" t="s">
        <v>70</v>
      </c>
      <c r="E168" s="6" t="s">
        <v>12</v>
      </c>
      <c r="F168" s="6">
        <v>1.0</v>
      </c>
      <c r="G168" s="9">
        <v>34990.0</v>
      </c>
      <c r="H168" s="6" t="s">
        <v>81</v>
      </c>
      <c r="I168" s="6" t="s">
        <v>39</v>
      </c>
    </row>
    <row r="169" ht="21.0" customHeight="1">
      <c r="A169" s="6" t="s">
        <v>506</v>
      </c>
      <c r="B169" s="8">
        <v>46272.075</v>
      </c>
      <c r="C169" s="6" t="s">
        <v>751</v>
      </c>
      <c r="D169" s="6" t="s">
        <v>70</v>
      </c>
      <c r="E169" s="6" t="s">
        <v>12</v>
      </c>
      <c r="F169" s="6">
        <v>1.0</v>
      </c>
      <c r="G169" s="9">
        <v>34990.0</v>
      </c>
      <c r="H169" s="6" t="s">
        <v>38</v>
      </c>
      <c r="I169" s="6" t="s">
        <v>39</v>
      </c>
    </row>
    <row r="170" ht="21.0" customHeight="1">
      <c r="A170" s="6" t="s">
        <v>508</v>
      </c>
      <c r="B170" s="8">
        <v>46272.20416666667</v>
      </c>
      <c r="C170" s="6" t="s">
        <v>757</v>
      </c>
      <c r="D170" s="6" t="s">
        <v>44</v>
      </c>
      <c r="E170" s="6" t="s">
        <v>10</v>
      </c>
      <c r="F170" s="6">
        <v>1.0</v>
      </c>
      <c r="G170" s="9">
        <v>8990.0</v>
      </c>
      <c r="H170" s="6" t="s">
        <v>31</v>
      </c>
      <c r="I170" s="6" t="s">
        <v>39</v>
      </c>
    </row>
    <row r="171" ht="21.0" customHeight="1">
      <c r="A171" s="6" t="s">
        <v>510</v>
      </c>
      <c r="B171" s="8">
        <v>46272.333333333336</v>
      </c>
      <c r="C171" s="6" t="s">
        <v>770</v>
      </c>
      <c r="D171" s="6" t="s">
        <v>70</v>
      </c>
      <c r="E171" s="6" t="s">
        <v>12</v>
      </c>
      <c r="F171" s="6">
        <v>2.0</v>
      </c>
      <c r="G171" s="9">
        <v>69980.0</v>
      </c>
      <c r="H171" s="6" t="s">
        <v>51</v>
      </c>
      <c r="I171" s="6" t="s">
        <v>39</v>
      </c>
    </row>
    <row r="172" ht="21.0" customHeight="1">
      <c r="A172" s="6" t="s">
        <v>512</v>
      </c>
      <c r="B172" s="8">
        <v>46272.4625</v>
      </c>
      <c r="C172" s="6" t="s">
        <v>775</v>
      </c>
      <c r="D172" s="6" t="s">
        <v>55</v>
      </c>
      <c r="E172" s="6" t="s">
        <v>21</v>
      </c>
      <c r="F172" s="6">
        <v>2.0</v>
      </c>
      <c r="G172" s="9">
        <v>39980.0</v>
      </c>
      <c r="H172" s="6" t="s">
        <v>38</v>
      </c>
      <c r="I172" s="6" t="s">
        <v>39</v>
      </c>
    </row>
    <row r="173" ht="21.0" customHeight="1">
      <c r="A173" s="6" t="s">
        <v>515</v>
      </c>
      <c r="B173" s="8">
        <v>46272.59166666667</v>
      </c>
      <c r="C173" s="6" t="s">
        <v>780</v>
      </c>
      <c r="D173" s="6" t="s">
        <v>44</v>
      </c>
      <c r="E173" s="6" t="s">
        <v>10</v>
      </c>
      <c r="F173" s="6">
        <v>1.0</v>
      </c>
      <c r="G173" s="9">
        <v>8990.0</v>
      </c>
      <c r="H173" s="6" t="s">
        <v>121</v>
      </c>
      <c r="I173" s="6" t="s">
        <v>39</v>
      </c>
    </row>
    <row r="174" ht="21.0" customHeight="1">
      <c r="A174" s="6" t="s">
        <v>517</v>
      </c>
      <c r="B174" s="8">
        <v>46272.72083333333</v>
      </c>
      <c r="C174" s="6" t="s">
        <v>785</v>
      </c>
      <c r="D174" s="6" t="s">
        <v>35</v>
      </c>
      <c r="E174" s="6" t="s">
        <v>18</v>
      </c>
      <c r="F174" s="6">
        <v>1.0</v>
      </c>
      <c r="G174" s="9">
        <v>12990.0</v>
      </c>
      <c r="H174" s="6" t="s">
        <v>47</v>
      </c>
      <c r="I174" s="6" t="s">
        <v>39</v>
      </c>
    </row>
    <row r="175" ht="21.0" customHeight="1">
      <c r="A175" s="6" t="s">
        <v>519</v>
      </c>
      <c r="B175" s="8">
        <v>46272.85</v>
      </c>
      <c r="C175" s="6" t="s">
        <v>790</v>
      </c>
      <c r="D175" s="6" t="s">
        <v>70</v>
      </c>
      <c r="E175" s="6" t="s">
        <v>12</v>
      </c>
      <c r="F175" s="6">
        <v>1.0</v>
      </c>
      <c r="G175" s="9">
        <v>34990.0</v>
      </c>
      <c r="H175" s="6" t="s">
        <v>81</v>
      </c>
      <c r="I175" s="6" t="s">
        <v>39</v>
      </c>
    </row>
    <row r="176" ht="21.0" customHeight="1">
      <c r="A176" s="6" t="s">
        <v>521</v>
      </c>
      <c r="B176" s="8">
        <v>46272.979166666664</v>
      </c>
      <c r="C176" s="6" t="s">
        <v>795</v>
      </c>
      <c r="D176" s="6" t="s">
        <v>70</v>
      </c>
      <c r="E176" s="6" t="s">
        <v>12</v>
      </c>
      <c r="F176" s="6">
        <v>1.0</v>
      </c>
      <c r="G176" s="9">
        <v>34990.0</v>
      </c>
      <c r="H176" s="6" t="s">
        <v>47</v>
      </c>
      <c r="I176" s="6" t="s">
        <v>39</v>
      </c>
    </row>
    <row r="177" ht="21.0" customHeight="1">
      <c r="A177" s="6" t="s">
        <v>525</v>
      </c>
      <c r="B177" s="8">
        <v>46273.10833333333</v>
      </c>
      <c r="C177" s="6" t="s">
        <v>800</v>
      </c>
      <c r="D177" s="6" t="s">
        <v>70</v>
      </c>
      <c r="E177" s="6" t="s">
        <v>12</v>
      </c>
      <c r="F177" s="6">
        <v>1.0</v>
      </c>
      <c r="G177" s="9">
        <v>34990.0</v>
      </c>
      <c r="H177" s="6" t="s">
        <v>47</v>
      </c>
      <c r="I177" s="6" t="s">
        <v>39</v>
      </c>
    </row>
    <row r="178" ht="21.0" customHeight="1">
      <c r="A178" s="6" t="s">
        <v>527</v>
      </c>
      <c r="B178" s="8">
        <v>46273.2375</v>
      </c>
      <c r="C178" s="6" t="s">
        <v>805</v>
      </c>
      <c r="D178" s="6" t="s">
        <v>44</v>
      </c>
      <c r="E178" s="6" t="s">
        <v>10</v>
      </c>
      <c r="F178" s="6">
        <v>1.0</v>
      </c>
      <c r="G178" s="9">
        <v>8990.0</v>
      </c>
      <c r="H178" s="6" t="s">
        <v>31</v>
      </c>
      <c r="I178" s="6" t="s">
        <v>39</v>
      </c>
    </row>
    <row r="179" ht="21.0" customHeight="1">
      <c r="A179" s="6" t="s">
        <v>531</v>
      </c>
      <c r="B179" s="8">
        <v>46273.36666666667</v>
      </c>
      <c r="C179" s="6" t="s">
        <v>810</v>
      </c>
      <c r="D179" s="6" t="s">
        <v>96</v>
      </c>
      <c r="E179" s="6" t="s">
        <v>16</v>
      </c>
      <c r="F179" s="6">
        <v>1.0</v>
      </c>
      <c r="G179" s="9">
        <v>15990.0</v>
      </c>
      <c r="H179" s="6" t="s">
        <v>51</v>
      </c>
      <c r="I179" s="6" t="s">
        <v>39</v>
      </c>
    </row>
    <row r="180" ht="21.0" customHeight="1">
      <c r="A180" s="6" t="s">
        <v>536</v>
      </c>
      <c r="B180" s="8">
        <v>46273.495833333334</v>
      </c>
      <c r="C180" s="6" t="s">
        <v>815</v>
      </c>
      <c r="D180" s="6" t="s">
        <v>70</v>
      </c>
      <c r="E180" s="6" t="s">
        <v>12</v>
      </c>
      <c r="F180" s="6">
        <v>2.0</v>
      </c>
      <c r="G180" s="9">
        <v>69980.0</v>
      </c>
      <c r="H180" s="6" t="s">
        <v>38</v>
      </c>
      <c r="I180" s="6" t="s">
        <v>39</v>
      </c>
    </row>
    <row r="181" ht="21.0" customHeight="1">
      <c r="A181" s="6" t="s">
        <v>539</v>
      </c>
      <c r="B181" s="8">
        <v>46273.625</v>
      </c>
      <c r="C181" s="6" t="s">
        <v>821</v>
      </c>
      <c r="D181" s="6" t="s">
        <v>96</v>
      </c>
      <c r="E181" s="6" t="s">
        <v>16</v>
      </c>
      <c r="F181" s="6">
        <v>2.0</v>
      </c>
      <c r="G181" s="9">
        <v>31980.0</v>
      </c>
      <c r="H181" s="6" t="s">
        <v>81</v>
      </c>
      <c r="I181" s="6" t="s">
        <v>39</v>
      </c>
    </row>
    <row r="182" ht="21.0" customHeight="1">
      <c r="A182" s="6" t="s">
        <v>542</v>
      </c>
      <c r="B182" s="8">
        <v>46273.754166666666</v>
      </c>
      <c r="C182" s="6" t="s">
        <v>826</v>
      </c>
      <c r="D182" s="6" t="s">
        <v>44</v>
      </c>
      <c r="E182" s="6" t="s">
        <v>10</v>
      </c>
      <c r="F182" s="6">
        <v>1.0</v>
      </c>
      <c r="G182" s="9">
        <v>8990.0</v>
      </c>
      <c r="H182" s="6" t="s">
        <v>47</v>
      </c>
      <c r="I182" s="6" t="s">
        <v>39</v>
      </c>
    </row>
    <row r="183" ht="21.0" customHeight="1">
      <c r="A183" s="6" t="s">
        <v>544</v>
      </c>
      <c r="B183" s="8">
        <v>46273.88333333333</v>
      </c>
      <c r="C183" s="6" t="s">
        <v>829</v>
      </c>
      <c r="D183" s="6" t="s">
        <v>119</v>
      </c>
      <c r="E183" s="6" t="s">
        <v>14</v>
      </c>
      <c r="F183" s="6">
        <v>1.0</v>
      </c>
      <c r="G183" s="9">
        <v>24990.0</v>
      </c>
      <c r="H183" s="6" t="s">
        <v>31</v>
      </c>
      <c r="I183" s="6" t="s">
        <v>39</v>
      </c>
    </row>
    <row r="184" ht="21.0" customHeight="1">
      <c r="A184" s="6" t="s">
        <v>547</v>
      </c>
      <c r="B184" s="8">
        <v>46274.0125</v>
      </c>
      <c r="C184" s="6" t="s">
        <v>830</v>
      </c>
      <c r="D184" s="6" t="s">
        <v>35</v>
      </c>
      <c r="E184" s="6" t="s">
        <v>18</v>
      </c>
      <c r="F184" s="6">
        <v>3.0</v>
      </c>
      <c r="G184" s="9">
        <v>38970.0</v>
      </c>
      <c r="H184" s="6" t="s">
        <v>31</v>
      </c>
      <c r="I184" s="6" t="s">
        <v>39</v>
      </c>
    </row>
    <row r="185" ht="21.0" customHeight="1">
      <c r="A185" s="6" t="s">
        <v>549</v>
      </c>
      <c r="B185" s="8">
        <v>46274.14166666667</v>
      </c>
      <c r="C185" s="6" t="s">
        <v>833</v>
      </c>
      <c r="D185" s="6" t="s">
        <v>70</v>
      </c>
      <c r="E185" s="6" t="s">
        <v>12</v>
      </c>
      <c r="F185" s="6">
        <v>1.0</v>
      </c>
      <c r="G185" s="9">
        <v>34990.0</v>
      </c>
      <c r="H185" s="6" t="s">
        <v>51</v>
      </c>
      <c r="I185" s="6" t="s">
        <v>39</v>
      </c>
    </row>
    <row r="186" ht="21.0" customHeight="1">
      <c r="A186" s="6" t="s">
        <v>552</v>
      </c>
      <c r="B186" s="8">
        <v>46274.270833333336</v>
      </c>
      <c r="C186" s="6" t="s">
        <v>838</v>
      </c>
      <c r="D186" s="6" t="s">
        <v>119</v>
      </c>
      <c r="E186" s="6" t="s">
        <v>14</v>
      </c>
      <c r="F186" s="6">
        <v>2.0</v>
      </c>
      <c r="G186" s="9">
        <v>49980.0</v>
      </c>
      <c r="H186" s="6" t="s">
        <v>47</v>
      </c>
      <c r="I186" s="6" t="s">
        <v>39</v>
      </c>
    </row>
    <row r="187" ht="21.0" customHeight="1">
      <c r="A187" s="6" t="s">
        <v>555</v>
      </c>
      <c r="B187" s="8">
        <v>46274.4</v>
      </c>
      <c r="C187" s="6" t="s">
        <v>843</v>
      </c>
      <c r="D187" s="6" t="s">
        <v>70</v>
      </c>
      <c r="E187" s="6" t="s">
        <v>12</v>
      </c>
      <c r="F187" s="6">
        <v>1.0</v>
      </c>
      <c r="G187" s="9">
        <v>34990.0</v>
      </c>
      <c r="H187" s="6" t="s">
        <v>47</v>
      </c>
      <c r="I187" s="6" t="s">
        <v>39</v>
      </c>
    </row>
    <row r="188" ht="21.0" customHeight="1">
      <c r="A188" s="6" t="s">
        <v>557</v>
      </c>
      <c r="B188" s="8">
        <v>46274.52916666667</v>
      </c>
      <c r="C188" s="6" t="s">
        <v>848</v>
      </c>
      <c r="D188" s="6" t="s">
        <v>70</v>
      </c>
      <c r="E188" s="6" t="s">
        <v>12</v>
      </c>
      <c r="F188" s="6">
        <v>2.0</v>
      </c>
      <c r="G188" s="9">
        <v>69980.0</v>
      </c>
      <c r="H188" s="6" t="s">
        <v>31</v>
      </c>
      <c r="I188" s="6" t="s">
        <v>39</v>
      </c>
    </row>
    <row r="189" ht="21.0" customHeight="1">
      <c r="A189" s="6" t="s">
        <v>560</v>
      </c>
      <c r="B189" s="8">
        <v>46274.65833333333</v>
      </c>
      <c r="C189" s="6" t="s">
        <v>853</v>
      </c>
      <c r="D189" s="6" t="s">
        <v>35</v>
      </c>
      <c r="E189" s="6" t="s">
        <v>18</v>
      </c>
      <c r="F189" s="6">
        <v>3.0</v>
      </c>
      <c r="G189" s="9">
        <v>38970.0</v>
      </c>
      <c r="H189" s="6" t="s">
        <v>38</v>
      </c>
      <c r="I189" s="6" t="s">
        <v>39</v>
      </c>
    </row>
    <row r="190" ht="21.0" customHeight="1">
      <c r="A190" s="6" t="s">
        <v>562</v>
      </c>
      <c r="B190" s="8">
        <v>46274.7875</v>
      </c>
      <c r="C190" s="6" t="s">
        <v>859</v>
      </c>
      <c r="D190" s="6" t="s">
        <v>96</v>
      </c>
      <c r="E190" s="6" t="s">
        <v>16</v>
      </c>
      <c r="F190" s="6">
        <v>1.0</v>
      </c>
      <c r="G190" s="9">
        <v>15990.0</v>
      </c>
      <c r="H190" s="6" t="s">
        <v>31</v>
      </c>
      <c r="I190" s="6" t="s">
        <v>39</v>
      </c>
    </row>
    <row r="191" ht="21.0" customHeight="1">
      <c r="A191" s="6" t="s">
        <v>565</v>
      </c>
      <c r="B191" s="8">
        <v>46274.916666666664</v>
      </c>
      <c r="C191" s="6" t="s">
        <v>865</v>
      </c>
      <c r="D191" s="6" t="s">
        <v>70</v>
      </c>
      <c r="E191" s="6" t="s">
        <v>12</v>
      </c>
      <c r="F191" s="6">
        <v>1.0</v>
      </c>
      <c r="G191" s="9">
        <v>34990.0</v>
      </c>
      <c r="H191" s="6" t="s">
        <v>47</v>
      </c>
      <c r="I191" s="6" t="s">
        <v>39</v>
      </c>
    </row>
    <row r="192" ht="21.0" customHeight="1">
      <c r="A192" s="6" t="s">
        <v>567</v>
      </c>
      <c r="B192" s="8">
        <v>46275.04583333333</v>
      </c>
      <c r="C192" s="6" t="s">
        <v>870</v>
      </c>
      <c r="D192" s="6" t="s">
        <v>96</v>
      </c>
      <c r="E192" s="6" t="s">
        <v>16</v>
      </c>
      <c r="F192" s="6">
        <v>2.0</v>
      </c>
      <c r="G192" s="9">
        <v>31980.0</v>
      </c>
      <c r="H192" s="6" t="s">
        <v>31</v>
      </c>
      <c r="I192" s="6" t="s">
        <v>39</v>
      </c>
    </row>
    <row r="193" ht="21.0" customHeight="1">
      <c r="A193" s="6" t="s">
        <v>570</v>
      </c>
      <c r="B193" s="8">
        <v>46275.175</v>
      </c>
      <c r="C193" s="6" t="s">
        <v>877</v>
      </c>
      <c r="D193" s="6" t="s">
        <v>119</v>
      </c>
      <c r="E193" s="6" t="s">
        <v>14</v>
      </c>
      <c r="F193" s="6">
        <v>3.0</v>
      </c>
      <c r="G193" s="9">
        <v>74970.0</v>
      </c>
      <c r="H193" s="6" t="s">
        <v>38</v>
      </c>
      <c r="I193" s="6" t="s">
        <v>39</v>
      </c>
    </row>
    <row r="194" ht="21.0" customHeight="1">
      <c r="A194" s="6" t="s">
        <v>572</v>
      </c>
      <c r="B194" s="8">
        <v>46275.30416666667</v>
      </c>
      <c r="C194" s="6" t="s">
        <v>882</v>
      </c>
      <c r="D194" s="6" t="s">
        <v>119</v>
      </c>
      <c r="E194" s="6" t="s">
        <v>14</v>
      </c>
      <c r="F194" s="6">
        <v>1.0</v>
      </c>
      <c r="G194" s="9">
        <v>24990.0</v>
      </c>
      <c r="H194" s="6" t="s">
        <v>38</v>
      </c>
      <c r="I194" s="6" t="s">
        <v>39</v>
      </c>
    </row>
    <row r="195" ht="21.0" customHeight="1">
      <c r="A195" s="6" t="s">
        <v>575</v>
      </c>
      <c r="B195" s="8">
        <v>46275.433333333334</v>
      </c>
      <c r="C195" s="6" t="s">
        <v>888</v>
      </c>
      <c r="D195" s="6" t="s">
        <v>119</v>
      </c>
      <c r="E195" s="6" t="s">
        <v>14</v>
      </c>
      <c r="F195" s="6">
        <v>1.0</v>
      </c>
      <c r="G195" s="9">
        <v>24990.0</v>
      </c>
      <c r="H195" s="6" t="s">
        <v>38</v>
      </c>
      <c r="I195" s="6" t="s">
        <v>39</v>
      </c>
    </row>
    <row r="196" ht="21.0" customHeight="1">
      <c r="A196" s="6" t="s">
        <v>578</v>
      </c>
      <c r="B196" s="8">
        <v>46275.5625</v>
      </c>
      <c r="C196" s="6" t="s">
        <v>895</v>
      </c>
      <c r="D196" s="6" t="s">
        <v>119</v>
      </c>
      <c r="E196" s="6" t="s">
        <v>14</v>
      </c>
      <c r="F196" s="6">
        <v>2.0</v>
      </c>
      <c r="G196" s="9">
        <v>49980.0</v>
      </c>
      <c r="H196" s="6" t="s">
        <v>31</v>
      </c>
      <c r="I196" s="6" t="s">
        <v>39</v>
      </c>
    </row>
    <row r="197" ht="21.0" customHeight="1">
      <c r="A197" s="6" t="s">
        <v>582</v>
      </c>
      <c r="B197" s="8">
        <v>46275.691666666666</v>
      </c>
      <c r="C197" s="6" t="s">
        <v>900</v>
      </c>
      <c r="D197" s="6" t="s">
        <v>119</v>
      </c>
      <c r="E197" s="6" t="s">
        <v>14</v>
      </c>
      <c r="F197" s="6">
        <v>1.0</v>
      </c>
      <c r="G197" s="9">
        <v>24990.0</v>
      </c>
      <c r="H197" s="6" t="s">
        <v>51</v>
      </c>
      <c r="I197" s="6" t="s">
        <v>39</v>
      </c>
    </row>
    <row r="198" ht="21.0" customHeight="1">
      <c r="A198" s="6" t="s">
        <v>585</v>
      </c>
      <c r="B198" s="8">
        <v>46275.82083333333</v>
      </c>
      <c r="C198" s="6" t="s">
        <v>907</v>
      </c>
      <c r="D198" s="6" t="s">
        <v>96</v>
      </c>
      <c r="E198" s="6" t="s">
        <v>16</v>
      </c>
      <c r="F198" s="6">
        <v>3.0</v>
      </c>
      <c r="G198" s="9">
        <v>47970.0</v>
      </c>
      <c r="H198" s="6" t="s">
        <v>38</v>
      </c>
      <c r="I198" s="6" t="s">
        <v>39</v>
      </c>
    </row>
    <row r="199" ht="21.0" customHeight="1">
      <c r="A199" s="6" t="s">
        <v>590</v>
      </c>
      <c r="B199" s="8">
        <v>46275.95</v>
      </c>
      <c r="C199" s="6" t="s">
        <v>912</v>
      </c>
      <c r="D199" s="6" t="s">
        <v>96</v>
      </c>
      <c r="E199" s="6" t="s">
        <v>16</v>
      </c>
      <c r="F199" s="6">
        <v>1.0</v>
      </c>
      <c r="G199" s="9">
        <v>15990.0</v>
      </c>
      <c r="H199" s="6" t="s">
        <v>121</v>
      </c>
      <c r="I199" s="6" t="s">
        <v>39</v>
      </c>
    </row>
    <row r="200" ht="21.0" customHeight="1">
      <c r="A200" s="6" t="s">
        <v>595</v>
      </c>
      <c r="B200" s="8">
        <v>46276.07916666667</v>
      </c>
      <c r="C200" s="6" t="s">
        <v>919</v>
      </c>
      <c r="D200" s="6" t="s">
        <v>119</v>
      </c>
      <c r="E200" s="6" t="s">
        <v>14</v>
      </c>
      <c r="F200" s="6">
        <v>1.0</v>
      </c>
      <c r="G200" s="9">
        <v>24990.0</v>
      </c>
      <c r="H200" s="6" t="s">
        <v>47</v>
      </c>
      <c r="I200" s="6" t="s">
        <v>39</v>
      </c>
    </row>
    <row r="201" ht="21.0" customHeight="1">
      <c r="A201" s="6" t="s">
        <v>599</v>
      </c>
      <c r="B201" s="8">
        <v>46276.08194444444</v>
      </c>
      <c r="C201" s="6" t="s">
        <v>919</v>
      </c>
      <c r="D201" s="6" t="s">
        <v>119</v>
      </c>
      <c r="E201" s="6" t="s">
        <v>14</v>
      </c>
      <c r="F201" s="6">
        <v>1.0</v>
      </c>
      <c r="G201" s="9">
        <v>24990.0</v>
      </c>
      <c r="H201" s="6" t="s">
        <v>47</v>
      </c>
      <c r="I201" s="6" t="s">
        <v>39</v>
      </c>
    </row>
    <row r="202" ht="21.0" customHeight="1">
      <c r="A202" s="6" t="s">
        <v>603</v>
      </c>
      <c r="B202" s="8">
        <v>46276.3375</v>
      </c>
      <c r="C202" s="6" t="s">
        <v>929</v>
      </c>
      <c r="D202" s="6" t="s">
        <v>44</v>
      </c>
      <c r="E202" s="6" t="s">
        <v>10</v>
      </c>
      <c r="F202" s="6">
        <v>1.0</v>
      </c>
      <c r="G202" s="9">
        <v>8990.0</v>
      </c>
      <c r="H202" s="6" t="s">
        <v>38</v>
      </c>
      <c r="I202" s="6" t="s">
        <v>39</v>
      </c>
    </row>
    <row r="203" ht="21.0" customHeight="1">
      <c r="A203" s="6" t="s">
        <v>605</v>
      </c>
      <c r="B203" s="8">
        <v>46276.46666666667</v>
      </c>
      <c r="C203" s="6" t="s">
        <v>933</v>
      </c>
      <c r="D203" s="6" t="s">
        <v>55</v>
      </c>
      <c r="E203" s="6" t="s">
        <v>21</v>
      </c>
      <c r="F203" s="6">
        <v>2.0</v>
      </c>
      <c r="G203" s="9">
        <v>39980.0</v>
      </c>
      <c r="H203" s="6" t="s">
        <v>38</v>
      </c>
      <c r="I203" s="6" t="s">
        <v>39</v>
      </c>
    </row>
    <row r="204" ht="21.0" customHeight="1">
      <c r="A204" s="6" t="s">
        <v>608</v>
      </c>
      <c r="B204" s="8">
        <v>46276.59583333333</v>
      </c>
      <c r="C204" s="6" t="s">
        <v>939</v>
      </c>
      <c r="D204" s="6" t="s">
        <v>119</v>
      </c>
      <c r="E204" s="6" t="s">
        <v>14</v>
      </c>
      <c r="F204" s="6">
        <v>1.0</v>
      </c>
      <c r="G204" s="9">
        <v>24990.0</v>
      </c>
      <c r="H204" s="6" t="s">
        <v>51</v>
      </c>
      <c r="I204" s="6" t="s">
        <v>39</v>
      </c>
    </row>
    <row r="205" ht="21.0" customHeight="1">
      <c r="A205" s="6" t="s">
        <v>610</v>
      </c>
      <c r="B205" s="8">
        <v>46276.725</v>
      </c>
      <c r="C205" s="6" t="s">
        <v>945</v>
      </c>
      <c r="D205" s="6" t="s">
        <v>119</v>
      </c>
      <c r="E205" s="6" t="s">
        <v>14</v>
      </c>
      <c r="F205" s="6">
        <v>1.0</v>
      </c>
      <c r="G205" s="9">
        <v>24990.0</v>
      </c>
      <c r="H205" s="6" t="s">
        <v>38</v>
      </c>
      <c r="I205" s="6" t="s">
        <v>39</v>
      </c>
    </row>
    <row r="206" ht="21.0" customHeight="1">
      <c r="A206" s="6" t="s">
        <v>613</v>
      </c>
      <c r="B206" s="8">
        <v>46276.854166666664</v>
      </c>
      <c r="C206" s="6" t="s">
        <v>950</v>
      </c>
      <c r="D206" s="6" t="s">
        <v>119</v>
      </c>
      <c r="E206" s="6" t="s">
        <v>14</v>
      </c>
      <c r="F206" s="6">
        <v>1.0</v>
      </c>
      <c r="G206" s="9">
        <v>24990.0</v>
      </c>
      <c r="H206" s="6" t="s">
        <v>121</v>
      </c>
      <c r="I206" s="6" t="s">
        <v>39</v>
      </c>
    </row>
    <row r="207" ht="21.0" customHeight="1">
      <c r="A207" s="6" t="s">
        <v>615</v>
      </c>
      <c r="B207" s="8">
        <v>46276.98333333333</v>
      </c>
      <c r="C207" s="6" t="s">
        <v>957</v>
      </c>
      <c r="D207" s="6" t="s">
        <v>55</v>
      </c>
      <c r="E207" s="6" t="s">
        <v>21</v>
      </c>
      <c r="F207" s="6">
        <v>1.0</v>
      </c>
      <c r="G207" s="9">
        <v>19990.0</v>
      </c>
      <c r="H207" s="6" t="s">
        <v>121</v>
      </c>
      <c r="I207" s="6" t="s">
        <v>39</v>
      </c>
    </row>
    <row r="208" ht="21.0" customHeight="1">
      <c r="A208" s="6" t="s">
        <v>618</v>
      </c>
      <c r="B208" s="8">
        <v>46277.1125</v>
      </c>
      <c r="C208" s="6" t="s">
        <v>962</v>
      </c>
      <c r="D208" s="6" t="s">
        <v>35</v>
      </c>
      <c r="E208" s="6" t="s">
        <v>18</v>
      </c>
      <c r="F208" s="6">
        <v>1.0</v>
      </c>
      <c r="G208" s="9">
        <v>12990.0</v>
      </c>
      <c r="H208" s="6" t="s">
        <v>81</v>
      </c>
      <c r="I208" s="6" t="s">
        <v>39</v>
      </c>
    </row>
    <row r="209" ht="21.0" customHeight="1">
      <c r="A209" s="6" t="s">
        <v>620</v>
      </c>
      <c r="B209" s="8">
        <v>46277.24166666667</v>
      </c>
      <c r="C209" s="6" t="s">
        <v>967</v>
      </c>
      <c r="D209" s="6" t="s">
        <v>55</v>
      </c>
      <c r="E209" s="6" t="s">
        <v>21</v>
      </c>
      <c r="F209" s="6">
        <v>1.0</v>
      </c>
      <c r="G209" s="9">
        <v>19990.0</v>
      </c>
      <c r="H209" s="6" t="s">
        <v>38</v>
      </c>
      <c r="I209" s="6" t="s">
        <v>39</v>
      </c>
    </row>
    <row r="210" ht="21.0" customHeight="1">
      <c r="A210" s="6" t="s">
        <v>623</v>
      </c>
      <c r="B210" s="8">
        <v>46277.370833333334</v>
      </c>
      <c r="C210" s="6" t="s">
        <v>972</v>
      </c>
      <c r="D210" s="6" t="s">
        <v>44</v>
      </c>
      <c r="E210" s="6" t="s">
        <v>10</v>
      </c>
      <c r="F210" s="6">
        <v>2.0</v>
      </c>
      <c r="G210" s="9">
        <v>17980.0</v>
      </c>
      <c r="H210" s="6" t="s">
        <v>81</v>
      </c>
      <c r="I210" s="6" t="s">
        <v>39</v>
      </c>
    </row>
    <row r="211" ht="21.0" customHeight="1">
      <c r="A211" s="6" t="s">
        <v>625</v>
      </c>
      <c r="B211" s="8">
        <v>46277.5</v>
      </c>
      <c r="C211" s="6" t="s">
        <v>977</v>
      </c>
      <c r="D211" s="6" t="s">
        <v>44</v>
      </c>
      <c r="E211" s="6" t="s">
        <v>10</v>
      </c>
      <c r="F211" s="6">
        <v>2.0</v>
      </c>
      <c r="G211" s="9">
        <v>17980.0</v>
      </c>
      <c r="H211" s="6" t="s">
        <v>47</v>
      </c>
      <c r="I211" s="6" t="s">
        <v>39</v>
      </c>
    </row>
    <row r="212" ht="21.0" customHeight="1">
      <c r="A212" s="6" t="s">
        <v>628</v>
      </c>
      <c r="B212" s="8">
        <v>46277.629166666666</v>
      </c>
      <c r="C212" s="6" t="s">
        <v>981</v>
      </c>
      <c r="D212" s="6" t="s">
        <v>70</v>
      </c>
      <c r="E212" s="6" t="s">
        <v>12</v>
      </c>
      <c r="F212" s="6">
        <v>1.0</v>
      </c>
      <c r="G212" s="9">
        <v>34990.0</v>
      </c>
      <c r="H212" s="6" t="s">
        <v>47</v>
      </c>
      <c r="I212" s="6" t="s">
        <v>39</v>
      </c>
    </row>
    <row r="213" ht="21.0" customHeight="1">
      <c r="A213" s="6" t="s">
        <v>630</v>
      </c>
      <c r="B213" s="8">
        <v>46277.75833333333</v>
      </c>
      <c r="C213" s="6" t="s">
        <v>983</v>
      </c>
      <c r="D213" s="6" t="s">
        <v>70</v>
      </c>
      <c r="E213" s="6" t="s">
        <v>12</v>
      </c>
      <c r="F213" s="6">
        <v>1.0</v>
      </c>
      <c r="G213" s="9">
        <v>34990.0</v>
      </c>
      <c r="H213" s="6" t="s">
        <v>81</v>
      </c>
      <c r="I213" s="6" t="s">
        <v>39</v>
      </c>
    </row>
    <row r="214" ht="21.0" customHeight="1">
      <c r="A214" s="6" t="s">
        <v>633</v>
      </c>
      <c r="B214" s="8">
        <v>46277.8875</v>
      </c>
      <c r="C214" s="6" t="s">
        <v>988</v>
      </c>
      <c r="D214" s="6" t="s">
        <v>96</v>
      </c>
      <c r="E214" s="6" t="s">
        <v>16</v>
      </c>
      <c r="F214" s="6">
        <v>1.0</v>
      </c>
      <c r="G214" s="9">
        <v>15990.0</v>
      </c>
      <c r="H214" s="6" t="s">
        <v>31</v>
      </c>
      <c r="I214" s="6" t="s">
        <v>39</v>
      </c>
    </row>
    <row r="215" ht="21.0" customHeight="1">
      <c r="A215" s="6" t="s">
        <v>635</v>
      </c>
      <c r="B215" s="8">
        <v>46278.01666666667</v>
      </c>
      <c r="C215" s="6" t="s">
        <v>993</v>
      </c>
      <c r="D215" s="6" t="s">
        <v>44</v>
      </c>
      <c r="E215" s="6" t="s">
        <v>10</v>
      </c>
      <c r="F215" s="6">
        <v>1.0</v>
      </c>
      <c r="G215" s="9">
        <v>8990.0</v>
      </c>
      <c r="H215" s="6" t="s">
        <v>51</v>
      </c>
      <c r="I215" s="6" t="s">
        <v>39</v>
      </c>
    </row>
    <row r="216" ht="21.0" customHeight="1">
      <c r="A216" s="6" t="s">
        <v>638</v>
      </c>
      <c r="B216" s="8">
        <v>46278.145833333336</v>
      </c>
      <c r="C216" s="6" t="s">
        <v>998</v>
      </c>
      <c r="D216" s="6" t="s">
        <v>70</v>
      </c>
      <c r="E216" s="6" t="s">
        <v>12</v>
      </c>
      <c r="F216" s="6">
        <v>1.0</v>
      </c>
      <c r="G216" s="9">
        <v>34990.0</v>
      </c>
      <c r="H216" s="6" t="s">
        <v>31</v>
      </c>
      <c r="I216" s="6" t="s">
        <v>39</v>
      </c>
    </row>
    <row r="217" ht="21.0" customHeight="1">
      <c r="A217" s="6" t="s">
        <v>640</v>
      </c>
      <c r="B217" s="8">
        <v>46278.275</v>
      </c>
      <c r="C217" s="6" t="s">
        <v>1003</v>
      </c>
      <c r="D217" s="6" t="s">
        <v>96</v>
      </c>
      <c r="E217" s="6" t="s">
        <v>16</v>
      </c>
      <c r="F217" s="6">
        <v>2.0</v>
      </c>
      <c r="G217" s="9">
        <v>31980.0</v>
      </c>
      <c r="H217" s="6" t="s">
        <v>121</v>
      </c>
      <c r="I217" s="6" t="s">
        <v>39</v>
      </c>
    </row>
    <row r="218" ht="21.0" customHeight="1">
      <c r="A218" s="6" t="s">
        <v>643</v>
      </c>
      <c r="B218" s="8">
        <v>46278.40416666667</v>
      </c>
      <c r="C218" s="6" t="s">
        <v>1009</v>
      </c>
      <c r="D218" s="6" t="s">
        <v>55</v>
      </c>
      <c r="E218" s="6" t="s">
        <v>21</v>
      </c>
      <c r="F218" s="6">
        <v>1.0</v>
      </c>
      <c r="G218" s="9">
        <v>19990.0</v>
      </c>
      <c r="H218" s="6" t="s">
        <v>121</v>
      </c>
      <c r="I218" s="6" t="s">
        <v>39</v>
      </c>
    </row>
    <row r="219" ht="21.0" customHeight="1">
      <c r="A219" s="6" t="s">
        <v>645</v>
      </c>
      <c r="B219" s="8">
        <v>46278.53333333333</v>
      </c>
      <c r="C219" s="6" t="s">
        <v>1013</v>
      </c>
      <c r="D219" s="6" t="s">
        <v>96</v>
      </c>
      <c r="E219" s="6" t="s">
        <v>16</v>
      </c>
      <c r="F219" s="6">
        <v>2.0</v>
      </c>
      <c r="G219" s="9">
        <v>31980.0</v>
      </c>
      <c r="H219" s="6" t="s">
        <v>38</v>
      </c>
      <c r="I219" s="6" t="s">
        <v>39</v>
      </c>
    </row>
    <row r="220" ht="21.0" customHeight="1">
      <c r="A220" s="6" t="s">
        <v>648</v>
      </c>
      <c r="B220" s="8">
        <v>46278.6625</v>
      </c>
      <c r="C220" s="6" t="s">
        <v>1018</v>
      </c>
      <c r="D220" s="6" t="s">
        <v>70</v>
      </c>
      <c r="E220" s="6" t="s">
        <v>12</v>
      </c>
      <c r="F220" s="6">
        <v>1.0</v>
      </c>
      <c r="G220" s="9">
        <v>34990.0</v>
      </c>
      <c r="H220" s="6" t="s">
        <v>121</v>
      </c>
      <c r="I220" s="6" t="s">
        <v>39</v>
      </c>
    </row>
    <row r="221" ht="21.0" customHeight="1">
      <c r="A221" s="6" t="s">
        <v>651</v>
      </c>
      <c r="B221" s="8">
        <v>46278.791666666664</v>
      </c>
      <c r="C221" s="6" t="s">
        <v>1023</v>
      </c>
      <c r="D221" s="6" t="s">
        <v>35</v>
      </c>
      <c r="E221" s="6" t="s">
        <v>18</v>
      </c>
      <c r="F221" s="6">
        <v>1.0</v>
      </c>
      <c r="G221" s="9">
        <v>12990.0</v>
      </c>
      <c r="H221" s="6" t="s">
        <v>121</v>
      </c>
      <c r="I221" s="6" t="s">
        <v>39</v>
      </c>
    </row>
    <row r="222" ht="21.0" customHeight="1">
      <c r="A222" s="6" t="s">
        <v>653</v>
      </c>
      <c r="B222" s="8">
        <v>46278.92083333333</v>
      </c>
      <c r="C222" s="6" t="s">
        <v>1035</v>
      </c>
      <c r="D222" s="6" t="s">
        <v>96</v>
      </c>
      <c r="E222" s="6" t="s">
        <v>16</v>
      </c>
      <c r="F222" s="6">
        <v>1.0</v>
      </c>
      <c r="G222" s="9">
        <v>15990.0</v>
      </c>
      <c r="H222" s="6" t="s">
        <v>121</v>
      </c>
      <c r="I222" s="6" t="s">
        <v>39</v>
      </c>
    </row>
    <row r="223" ht="21.0" customHeight="1">
      <c r="A223" s="6" t="s">
        <v>656</v>
      </c>
      <c r="B223" s="8">
        <v>46279.05</v>
      </c>
      <c r="C223" s="6" t="s">
        <v>1040</v>
      </c>
      <c r="D223" s="6" t="s">
        <v>44</v>
      </c>
      <c r="E223" s="6" t="s">
        <v>10</v>
      </c>
      <c r="F223" s="6">
        <v>1.0</v>
      </c>
      <c r="G223" s="9">
        <v>8990.0</v>
      </c>
      <c r="H223" s="6" t="s">
        <v>81</v>
      </c>
      <c r="I223" s="6" t="s">
        <v>39</v>
      </c>
    </row>
    <row r="224" ht="21.0" customHeight="1">
      <c r="A224" s="6" t="s">
        <v>658</v>
      </c>
      <c r="B224" s="8">
        <v>46279.17916666667</v>
      </c>
      <c r="C224" s="6" t="s">
        <v>1046</v>
      </c>
      <c r="D224" s="6" t="s">
        <v>44</v>
      </c>
      <c r="E224" s="6" t="s">
        <v>10</v>
      </c>
      <c r="F224" s="6">
        <v>1.0</v>
      </c>
      <c r="G224" s="9">
        <v>8990.0</v>
      </c>
      <c r="H224" s="6" t="s">
        <v>38</v>
      </c>
      <c r="I224" s="6" t="s">
        <v>39</v>
      </c>
    </row>
    <row r="225" ht="21.0" customHeight="1">
      <c r="A225" s="6" t="s">
        <v>661</v>
      </c>
      <c r="B225" s="8">
        <v>46279.308333333334</v>
      </c>
      <c r="C225" s="6" t="s">
        <v>1052</v>
      </c>
      <c r="D225" s="6" t="s">
        <v>119</v>
      </c>
      <c r="E225" s="6" t="s">
        <v>14</v>
      </c>
      <c r="F225" s="6">
        <v>2.0</v>
      </c>
      <c r="G225" s="9">
        <v>49980.0</v>
      </c>
      <c r="H225" s="6" t="s">
        <v>38</v>
      </c>
      <c r="I225" s="6" t="s">
        <v>39</v>
      </c>
    </row>
    <row r="226" ht="21.0" customHeight="1">
      <c r="A226" s="6" t="s">
        <v>663</v>
      </c>
      <c r="B226" s="8">
        <v>46279.4375</v>
      </c>
      <c r="C226" s="6" t="s">
        <v>1057</v>
      </c>
      <c r="D226" s="6" t="s">
        <v>44</v>
      </c>
      <c r="E226" s="6" t="s">
        <v>10</v>
      </c>
      <c r="F226" s="6">
        <v>1.0</v>
      </c>
      <c r="G226" s="9">
        <v>8990.0</v>
      </c>
      <c r="H226" s="6" t="s">
        <v>38</v>
      </c>
      <c r="I226" s="6" t="s">
        <v>39</v>
      </c>
    </row>
    <row r="227" ht="21.0" customHeight="1">
      <c r="A227" s="6" t="s">
        <v>666</v>
      </c>
      <c r="B227" s="8">
        <v>46279.566666666666</v>
      </c>
      <c r="C227" s="6" t="s">
        <v>1064</v>
      </c>
      <c r="D227" s="6" t="s">
        <v>44</v>
      </c>
      <c r="E227" s="6" t="s">
        <v>10</v>
      </c>
      <c r="F227" s="6">
        <v>1.0</v>
      </c>
      <c r="G227" s="9">
        <v>8990.0</v>
      </c>
      <c r="H227" s="6" t="s">
        <v>31</v>
      </c>
      <c r="I227" s="6" t="s">
        <v>39</v>
      </c>
    </row>
    <row r="228" ht="21.0" customHeight="1">
      <c r="A228" s="6" t="s">
        <v>668</v>
      </c>
      <c r="B228" s="8">
        <v>46279.69583333333</v>
      </c>
      <c r="C228" s="6" t="s">
        <v>1069</v>
      </c>
      <c r="D228" s="6" t="s">
        <v>55</v>
      </c>
      <c r="E228" s="6" t="s">
        <v>21</v>
      </c>
      <c r="F228" s="6">
        <v>1.0</v>
      </c>
      <c r="G228" s="9">
        <v>19990.0</v>
      </c>
      <c r="H228" s="6" t="s">
        <v>81</v>
      </c>
      <c r="I228" s="6" t="s">
        <v>39</v>
      </c>
    </row>
    <row r="229" ht="21.0" customHeight="1">
      <c r="A229" s="6" t="s">
        <v>671</v>
      </c>
      <c r="B229" s="8">
        <v>46279.825</v>
      </c>
      <c r="C229" s="6" t="s">
        <v>1076</v>
      </c>
      <c r="D229" s="6" t="s">
        <v>55</v>
      </c>
      <c r="E229" s="6" t="s">
        <v>21</v>
      </c>
      <c r="F229" s="6">
        <v>2.0</v>
      </c>
      <c r="G229" s="9">
        <v>39980.0</v>
      </c>
      <c r="H229" s="6" t="s">
        <v>81</v>
      </c>
      <c r="I229" s="6" t="s">
        <v>39</v>
      </c>
    </row>
    <row r="230" ht="21.0" customHeight="1">
      <c r="A230" s="6" t="s">
        <v>673</v>
      </c>
      <c r="B230" s="8">
        <v>46279.95416666667</v>
      </c>
      <c r="C230" s="6" t="s">
        <v>1081</v>
      </c>
      <c r="D230" s="6" t="s">
        <v>35</v>
      </c>
      <c r="E230" s="6" t="s">
        <v>18</v>
      </c>
      <c r="F230" s="6">
        <v>1.0</v>
      </c>
      <c r="G230" s="9">
        <v>12990.0</v>
      </c>
      <c r="H230" s="6" t="s">
        <v>47</v>
      </c>
      <c r="I230" s="6" t="s">
        <v>39</v>
      </c>
    </row>
    <row r="231" ht="21.0" customHeight="1">
      <c r="A231" s="6" t="s">
        <v>677</v>
      </c>
      <c r="B231" s="8">
        <v>46280.083333333336</v>
      </c>
      <c r="C231" s="6" t="s">
        <v>1088</v>
      </c>
      <c r="D231" s="6" t="s">
        <v>55</v>
      </c>
      <c r="E231" s="6" t="s">
        <v>21</v>
      </c>
      <c r="F231" s="6">
        <v>1.0</v>
      </c>
      <c r="G231" s="9">
        <v>19990.0</v>
      </c>
      <c r="H231" s="6" t="s">
        <v>51</v>
      </c>
      <c r="I231" s="6" t="s">
        <v>39</v>
      </c>
    </row>
    <row r="232" ht="21.0" customHeight="1">
      <c r="A232" s="6" t="s">
        <v>679</v>
      </c>
      <c r="B232" s="8">
        <v>46280.2125</v>
      </c>
      <c r="C232" s="6" t="s">
        <v>1093</v>
      </c>
      <c r="D232" s="6" t="s">
        <v>35</v>
      </c>
      <c r="E232" s="6" t="s">
        <v>18</v>
      </c>
      <c r="F232" s="6">
        <v>1.0</v>
      </c>
      <c r="G232" s="9">
        <v>12990.0</v>
      </c>
      <c r="H232" s="6" t="s">
        <v>121</v>
      </c>
      <c r="I232" s="6" t="s">
        <v>39</v>
      </c>
    </row>
    <row r="233" ht="21.0" customHeight="1">
      <c r="A233" s="6" t="s">
        <v>682</v>
      </c>
      <c r="B233" s="8">
        <v>46280.34166666667</v>
      </c>
      <c r="C233" s="6" t="s">
        <v>1098</v>
      </c>
      <c r="D233" s="6" t="s">
        <v>55</v>
      </c>
      <c r="E233" s="6" t="s">
        <v>21</v>
      </c>
      <c r="F233" s="6">
        <v>2.0</v>
      </c>
      <c r="G233" s="9">
        <v>39980.0</v>
      </c>
      <c r="H233" s="6" t="s">
        <v>121</v>
      </c>
      <c r="I233" s="6" t="s">
        <v>39</v>
      </c>
    </row>
    <row r="234" ht="21.0" customHeight="1">
      <c r="A234" s="6" t="s">
        <v>684</v>
      </c>
      <c r="B234" s="8">
        <v>46280.47083333333</v>
      </c>
      <c r="C234" s="6" t="s">
        <v>1103</v>
      </c>
      <c r="D234" s="6" t="s">
        <v>96</v>
      </c>
      <c r="E234" s="6" t="s">
        <v>16</v>
      </c>
      <c r="F234" s="6">
        <v>1.0</v>
      </c>
      <c r="G234" s="9">
        <v>15990.0</v>
      </c>
      <c r="H234" s="6" t="s">
        <v>121</v>
      </c>
      <c r="I234" s="6" t="s">
        <v>39</v>
      </c>
    </row>
    <row r="235" ht="21.0" customHeight="1">
      <c r="A235" s="6" t="s">
        <v>687</v>
      </c>
      <c r="B235" s="8">
        <v>46280.6</v>
      </c>
      <c r="C235" s="6" t="s">
        <v>1108</v>
      </c>
      <c r="D235" s="6" t="s">
        <v>35</v>
      </c>
      <c r="E235" s="6" t="s">
        <v>18</v>
      </c>
      <c r="F235" s="6">
        <v>1.0</v>
      </c>
      <c r="G235" s="9">
        <v>12990.0</v>
      </c>
      <c r="H235" s="6" t="s">
        <v>51</v>
      </c>
      <c r="I235" s="6" t="s">
        <v>39</v>
      </c>
    </row>
    <row r="236" ht="21.0" customHeight="1">
      <c r="A236" s="6" t="s">
        <v>689</v>
      </c>
      <c r="B236" s="8">
        <v>46280.729166666664</v>
      </c>
      <c r="C236" s="6" t="s">
        <v>1113</v>
      </c>
      <c r="D236" s="6" t="s">
        <v>119</v>
      </c>
      <c r="E236" s="6" t="s">
        <v>14</v>
      </c>
      <c r="F236" s="6">
        <v>2.0</v>
      </c>
      <c r="G236" s="9">
        <v>49980.0</v>
      </c>
      <c r="H236" s="6" t="s">
        <v>51</v>
      </c>
      <c r="I236" s="6" t="s">
        <v>39</v>
      </c>
    </row>
    <row r="237" ht="21.0" customHeight="1">
      <c r="A237" s="6" t="s">
        <v>692</v>
      </c>
      <c r="B237" s="8">
        <v>46280.85833333333</v>
      </c>
      <c r="C237" s="6" t="s">
        <v>1118</v>
      </c>
      <c r="D237" s="6" t="s">
        <v>70</v>
      </c>
      <c r="E237" s="6" t="s">
        <v>12</v>
      </c>
      <c r="F237" s="6">
        <v>1.0</v>
      </c>
      <c r="G237" s="9">
        <v>34990.0</v>
      </c>
      <c r="H237" s="6" t="s">
        <v>81</v>
      </c>
      <c r="I237" s="6" t="s">
        <v>39</v>
      </c>
    </row>
    <row r="238" ht="21.0" customHeight="1">
      <c r="A238" s="6" t="s">
        <v>695</v>
      </c>
      <c r="B238" s="8">
        <v>46280.9875</v>
      </c>
      <c r="C238" s="6" t="s">
        <v>1123</v>
      </c>
      <c r="D238" s="6" t="s">
        <v>96</v>
      </c>
      <c r="E238" s="6" t="s">
        <v>16</v>
      </c>
      <c r="F238" s="6">
        <v>2.0</v>
      </c>
      <c r="G238" s="9">
        <v>31980.0</v>
      </c>
      <c r="H238" s="6" t="s">
        <v>51</v>
      </c>
      <c r="I238" s="6" t="s">
        <v>39</v>
      </c>
    </row>
    <row r="239" ht="21.0" customHeight="1">
      <c r="A239" s="6" t="s">
        <v>697</v>
      </c>
      <c r="B239" s="8">
        <v>46281.11666666667</v>
      </c>
      <c r="C239" s="6" t="s">
        <v>1130</v>
      </c>
      <c r="D239" s="6" t="s">
        <v>70</v>
      </c>
      <c r="E239" s="6" t="s">
        <v>12</v>
      </c>
      <c r="F239" s="6">
        <v>1.0</v>
      </c>
      <c r="G239" s="9">
        <v>34990.0</v>
      </c>
      <c r="H239" s="6" t="s">
        <v>38</v>
      </c>
      <c r="I239" s="6" t="s">
        <v>39</v>
      </c>
    </row>
    <row r="240" ht="21.0" customHeight="1">
      <c r="A240" s="6" t="s">
        <v>700</v>
      </c>
      <c r="B240" s="8">
        <v>46281.245833333334</v>
      </c>
      <c r="C240" s="6" t="s">
        <v>1135</v>
      </c>
      <c r="D240" s="6" t="s">
        <v>119</v>
      </c>
      <c r="E240" s="6" t="s">
        <v>14</v>
      </c>
      <c r="F240" s="6">
        <v>1.0</v>
      </c>
      <c r="G240" s="9">
        <v>24990.0</v>
      </c>
      <c r="H240" s="6" t="s">
        <v>51</v>
      </c>
      <c r="I240" s="6" t="s">
        <v>39</v>
      </c>
    </row>
    <row r="241" ht="21.0" customHeight="1">
      <c r="A241" s="6" t="s">
        <v>702</v>
      </c>
      <c r="B241" s="8">
        <v>46281.375</v>
      </c>
      <c r="C241" s="6" t="s">
        <v>1141</v>
      </c>
      <c r="D241" s="6" t="s">
        <v>96</v>
      </c>
      <c r="E241" s="6" t="s">
        <v>16</v>
      </c>
      <c r="F241" s="6">
        <v>1.0</v>
      </c>
      <c r="G241" s="9">
        <v>15990.0</v>
      </c>
      <c r="H241" s="6" t="s">
        <v>51</v>
      </c>
      <c r="I241" s="6" t="s">
        <v>39</v>
      </c>
    </row>
    <row r="242" ht="21.0" customHeight="1">
      <c r="A242" s="6" t="s">
        <v>705</v>
      </c>
      <c r="B242" s="8">
        <v>46281.504166666666</v>
      </c>
      <c r="C242" s="6" t="s">
        <v>1147</v>
      </c>
      <c r="D242" s="6" t="s">
        <v>119</v>
      </c>
      <c r="E242" s="6" t="s">
        <v>14</v>
      </c>
      <c r="F242" s="6">
        <v>1.0</v>
      </c>
      <c r="G242" s="9">
        <v>24990.0</v>
      </c>
      <c r="H242" s="6" t="s">
        <v>38</v>
      </c>
      <c r="I242" s="6" t="s">
        <v>39</v>
      </c>
    </row>
    <row r="243" ht="21.0" customHeight="1">
      <c r="A243" s="6" t="s">
        <v>707</v>
      </c>
      <c r="B243" s="8">
        <v>46281.63333333333</v>
      </c>
      <c r="C243" s="6" t="s">
        <v>1152</v>
      </c>
      <c r="D243" s="6" t="s">
        <v>119</v>
      </c>
      <c r="E243" s="6" t="s">
        <v>14</v>
      </c>
      <c r="F243" s="6">
        <v>1.0</v>
      </c>
      <c r="G243" s="9">
        <v>24990.0</v>
      </c>
      <c r="H243" s="6" t="s">
        <v>31</v>
      </c>
      <c r="I243" s="6" t="s">
        <v>39</v>
      </c>
    </row>
    <row r="244" ht="21.0" customHeight="1">
      <c r="A244" s="6" t="s">
        <v>710</v>
      </c>
      <c r="B244" s="8">
        <v>46281.7625</v>
      </c>
      <c r="C244" s="6" t="s">
        <v>1159</v>
      </c>
      <c r="D244" s="6" t="s">
        <v>35</v>
      </c>
      <c r="E244" s="6" t="s">
        <v>18</v>
      </c>
      <c r="F244" s="6">
        <v>1.0</v>
      </c>
      <c r="G244" s="9">
        <v>12990.0</v>
      </c>
      <c r="H244" s="6" t="s">
        <v>47</v>
      </c>
      <c r="I244" s="6" t="s">
        <v>39</v>
      </c>
    </row>
    <row r="245" ht="21.0" customHeight="1">
      <c r="A245" s="6" t="s">
        <v>712</v>
      </c>
      <c r="B245" s="8">
        <v>46281.89166666667</v>
      </c>
      <c r="C245" s="6" t="s">
        <v>1164</v>
      </c>
      <c r="D245" s="6" t="s">
        <v>44</v>
      </c>
      <c r="E245" s="6" t="s">
        <v>10</v>
      </c>
      <c r="F245" s="6">
        <v>1.0</v>
      </c>
      <c r="G245" s="9">
        <v>8990.0</v>
      </c>
      <c r="H245" s="6" t="s">
        <v>38</v>
      </c>
      <c r="I245" s="6" t="s">
        <v>39</v>
      </c>
    </row>
    <row r="246" ht="21.0" customHeight="1">
      <c r="A246" s="6" t="s">
        <v>715</v>
      </c>
      <c r="B246" s="8">
        <v>46281.89444444444</v>
      </c>
      <c r="C246" s="6" t="s">
        <v>1164</v>
      </c>
      <c r="D246" s="6" t="s">
        <v>44</v>
      </c>
      <c r="E246" s="6" t="s">
        <v>10</v>
      </c>
      <c r="F246" s="6">
        <v>1.0</v>
      </c>
      <c r="G246" s="9">
        <v>8990.0</v>
      </c>
      <c r="H246" s="6" t="s">
        <v>38</v>
      </c>
      <c r="I246" s="6" t="s">
        <v>39</v>
      </c>
    </row>
    <row r="247" ht="21.0" customHeight="1">
      <c r="A247" s="6" t="s">
        <v>717</v>
      </c>
      <c r="B247" s="8">
        <v>46282.15</v>
      </c>
      <c r="C247" s="6" t="s">
        <v>1174</v>
      </c>
      <c r="D247" s="6" t="s">
        <v>70</v>
      </c>
      <c r="E247" s="6" t="s">
        <v>12</v>
      </c>
      <c r="F247" s="6">
        <v>1.0</v>
      </c>
      <c r="G247" s="9">
        <v>34990.0</v>
      </c>
      <c r="H247" s="6" t="s">
        <v>121</v>
      </c>
      <c r="I247" s="6" t="s">
        <v>39</v>
      </c>
    </row>
    <row r="248" ht="21.0" customHeight="1">
      <c r="A248" s="6" t="s">
        <v>720</v>
      </c>
      <c r="B248" s="8">
        <v>46282.27916666667</v>
      </c>
      <c r="C248" s="6" t="s">
        <v>1180</v>
      </c>
      <c r="D248" s="6" t="s">
        <v>44</v>
      </c>
      <c r="E248" s="6" t="s">
        <v>10</v>
      </c>
      <c r="F248" s="6">
        <v>1.0</v>
      </c>
      <c r="G248" s="9">
        <v>8990.0</v>
      </c>
      <c r="H248" s="6" t="s">
        <v>47</v>
      </c>
      <c r="I248" s="6" t="s">
        <v>39</v>
      </c>
    </row>
    <row r="249" ht="21.0" customHeight="1">
      <c r="A249" s="6" t="s">
        <v>722</v>
      </c>
      <c r="B249" s="8">
        <v>46282.40833333333</v>
      </c>
      <c r="C249" s="6" t="s">
        <v>1185</v>
      </c>
      <c r="D249" s="6" t="s">
        <v>55</v>
      </c>
      <c r="E249" s="6" t="s">
        <v>21</v>
      </c>
      <c r="F249" s="6">
        <v>3.0</v>
      </c>
      <c r="G249" s="9">
        <v>59970.0</v>
      </c>
      <c r="H249" s="6" t="s">
        <v>51</v>
      </c>
      <c r="I249" s="6" t="s">
        <v>39</v>
      </c>
    </row>
    <row r="250" ht="21.0" customHeight="1">
      <c r="A250" s="6" t="s">
        <v>725</v>
      </c>
      <c r="B250" s="8">
        <v>46282.5375</v>
      </c>
      <c r="C250" s="6" t="s">
        <v>1188</v>
      </c>
      <c r="D250" s="6" t="s">
        <v>119</v>
      </c>
      <c r="E250" s="6" t="s">
        <v>14</v>
      </c>
      <c r="F250" s="6">
        <v>1.0</v>
      </c>
      <c r="G250" s="9">
        <v>24990.0</v>
      </c>
      <c r="H250" s="6" t="s">
        <v>51</v>
      </c>
      <c r="I250" s="6" t="s">
        <v>39</v>
      </c>
    </row>
    <row r="251" ht="21.0" customHeight="1">
      <c r="A251" s="6" t="s">
        <v>727</v>
      </c>
      <c r="B251" s="8">
        <v>46282.666666666664</v>
      </c>
      <c r="C251" s="6" t="s">
        <v>1193</v>
      </c>
      <c r="D251" s="6" t="s">
        <v>70</v>
      </c>
      <c r="E251" s="6" t="s">
        <v>12</v>
      </c>
      <c r="F251" s="6">
        <v>2.0</v>
      </c>
      <c r="G251" s="9">
        <v>69980.0</v>
      </c>
      <c r="H251" s="6" t="s">
        <v>81</v>
      </c>
      <c r="I251" s="6" t="s">
        <v>39</v>
      </c>
    </row>
    <row r="252" ht="21.0" customHeight="1">
      <c r="A252" s="6" t="s">
        <v>730</v>
      </c>
      <c r="B252" s="8">
        <v>46282.79583333333</v>
      </c>
      <c r="C252" s="6" t="s">
        <v>1198</v>
      </c>
      <c r="D252" s="6" t="s">
        <v>55</v>
      </c>
      <c r="E252" s="6" t="s">
        <v>21</v>
      </c>
      <c r="F252" s="6">
        <v>1.0</v>
      </c>
      <c r="G252" s="9">
        <v>19990.0</v>
      </c>
      <c r="H252" s="6" t="s">
        <v>31</v>
      </c>
      <c r="I252" s="6" t="s">
        <v>39</v>
      </c>
    </row>
    <row r="253" ht="21.0" customHeight="1">
      <c r="A253" s="6" t="s">
        <v>732</v>
      </c>
      <c r="B253" s="8">
        <v>46282.925</v>
      </c>
      <c r="C253" s="6" t="s">
        <v>1205</v>
      </c>
      <c r="D253" s="6" t="s">
        <v>44</v>
      </c>
      <c r="E253" s="6" t="s">
        <v>10</v>
      </c>
      <c r="F253" s="6">
        <v>1.0</v>
      </c>
      <c r="G253" s="9">
        <v>8990.0</v>
      </c>
      <c r="H253" s="6" t="s">
        <v>121</v>
      </c>
      <c r="I253" s="6" t="s">
        <v>39</v>
      </c>
    </row>
    <row r="254" ht="21.0" customHeight="1">
      <c r="A254" s="6" t="s">
        <v>734</v>
      </c>
      <c r="B254" s="8">
        <v>46283.05416666667</v>
      </c>
      <c r="C254" s="6" t="s">
        <v>1210</v>
      </c>
      <c r="D254" s="6" t="s">
        <v>35</v>
      </c>
      <c r="E254" s="6" t="s">
        <v>18</v>
      </c>
      <c r="F254" s="6">
        <v>1.0</v>
      </c>
      <c r="G254" s="9">
        <v>12990.0</v>
      </c>
      <c r="H254" s="6" t="s">
        <v>31</v>
      </c>
      <c r="I254" s="6" t="s">
        <v>39</v>
      </c>
    </row>
    <row r="255" ht="21.0" customHeight="1">
      <c r="A255" s="6" t="s">
        <v>736</v>
      </c>
      <c r="B255" s="8">
        <v>46283.183333333334</v>
      </c>
      <c r="C255" s="6" t="s">
        <v>1215</v>
      </c>
      <c r="D255" s="6" t="s">
        <v>55</v>
      </c>
      <c r="E255" s="6" t="s">
        <v>21</v>
      </c>
      <c r="F255" s="6">
        <v>1.0</v>
      </c>
      <c r="G255" s="9">
        <v>19990.0</v>
      </c>
      <c r="H255" s="6" t="s">
        <v>31</v>
      </c>
      <c r="I255" s="6" t="s">
        <v>39</v>
      </c>
    </row>
    <row r="256" ht="21.0" customHeight="1">
      <c r="A256" s="6" t="s">
        <v>738</v>
      </c>
      <c r="B256" s="8">
        <v>46283.3125</v>
      </c>
      <c r="C256" s="6" t="s">
        <v>1222</v>
      </c>
      <c r="D256" s="6" t="s">
        <v>119</v>
      </c>
      <c r="E256" s="6" t="s">
        <v>14</v>
      </c>
      <c r="F256" s="6">
        <v>1.0</v>
      </c>
      <c r="G256" s="9">
        <v>24990.0</v>
      </c>
      <c r="H256" s="6" t="s">
        <v>47</v>
      </c>
      <c r="I256" s="6" t="s">
        <v>39</v>
      </c>
    </row>
    <row r="257" ht="21.0" customHeight="1">
      <c r="A257" s="6" t="s">
        <v>741</v>
      </c>
      <c r="B257" s="8">
        <v>46283.441666666666</v>
      </c>
      <c r="C257" s="6" t="s">
        <v>1227</v>
      </c>
      <c r="D257" s="6" t="s">
        <v>35</v>
      </c>
      <c r="E257" s="6" t="s">
        <v>18</v>
      </c>
      <c r="F257" s="6">
        <v>2.0</v>
      </c>
      <c r="G257" s="9">
        <v>25980.0</v>
      </c>
      <c r="H257" s="6" t="s">
        <v>121</v>
      </c>
      <c r="I257" s="6" t="s">
        <v>39</v>
      </c>
    </row>
    <row r="258" ht="21.0" customHeight="1">
      <c r="A258" s="6" t="s">
        <v>743</v>
      </c>
      <c r="B258" s="8">
        <v>46283.57083333333</v>
      </c>
      <c r="C258" s="6" t="s">
        <v>1232</v>
      </c>
      <c r="D258" s="6" t="s">
        <v>35</v>
      </c>
      <c r="E258" s="6" t="s">
        <v>18</v>
      </c>
      <c r="F258" s="6">
        <v>1.0</v>
      </c>
      <c r="G258" s="9">
        <v>12990.0</v>
      </c>
      <c r="H258" s="6" t="s">
        <v>31</v>
      </c>
      <c r="I258" s="6" t="s">
        <v>39</v>
      </c>
    </row>
    <row r="259" ht="21.0" customHeight="1">
      <c r="A259" s="6" t="s">
        <v>745</v>
      </c>
      <c r="B259" s="8">
        <v>46283.7</v>
      </c>
      <c r="C259" s="6" t="s">
        <v>1237</v>
      </c>
      <c r="D259" s="6" t="s">
        <v>55</v>
      </c>
      <c r="E259" s="6" t="s">
        <v>21</v>
      </c>
      <c r="F259" s="6">
        <v>2.0</v>
      </c>
      <c r="G259" s="9">
        <v>39980.0</v>
      </c>
      <c r="H259" s="6" t="s">
        <v>51</v>
      </c>
      <c r="I259" s="6" t="s">
        <v>39</v>
      </c>
    </row>
    <row r="260" ht="21.0" customHeight="1">
      <c r="A260" s="6" t="s">
        <v>748</v>
      </c>
      <c r="B260" s="8">
        <v>46283.82916666667</v>
      </c>
      <c r="C260" s="6" t="s">
        <v>1242</v>
      </c>
      <c r="D260" s="6" t="s">
        <v>70</v>
      </c>
      <c r="E260" s="6" t="s">
        <v>12</v>
      </c>
      <c r="F260" s="6">
        <v>1.0</v>
      </c>
      <c r="G260" s="9">
        <v>34990.0</v>
      </c>
      <c r="H260" s="6" t="s">
        <v>121</v>
      </c>
      <c r="I260" s="6" t="s">
        <v>39</v>
      </c>
    </row>
    <row r="261" ht="21.0" customHeight="1">
      <c r="A261" s="6" t="s">
        <v>750</v>
      </c>
      <c r="B261" s="8">
        <v>46283.958333333336</v>
      </c>
      <c r="C261" s="6" t="s">
        <v>1249</v>
      </c>
      <c r="D261" s="6" t="s">
        <v>35</v>
      </c>
      <c r="E261" s="6" t="s">
        <v>18</v>
      </c>
      <c r="F261" s="6">
        <v>1.0</v>
      </c>
      <c r="G261" s="9">
        <v>12990.0</v>
      </c>
      <c r="H261" s="6" t="s">
        <v>81</v>
      </c>
      <c r="I261" s="6" t="s">
        <v>39</v>
      </c>
    </row>
    <row r="262" ht="21.0" customHeight="1">
      <c r="A262" s="6" t="s">
        <v>753</v>
      </c>
      <c r="B262" s="8">
        <v>46284.0875</v>
      </c>
      <c r="C262" s="6" t="s">
        <v>1254</v>
      </c>
      <c r="D262" s="6" t="s">
        <v>55</v>
      </c>
      <c r="E262" s="6" t="s">
        <v>21</v>
      </c>
      <c r="F262" s="6">
        <v>1.0</v>
      </c>
      <c r="G262" s="9">
        <v>19990.0</v>
      </c>
      <c r="H262" s="6" t="s">
        <v>31</v>
      </c>
      <c r="I262" s="6" t="s">
        <v>39</v>
      </c>
    </row>
    <row r="263" ht="21.0" customHeight="1">
      <c r="A263" s="6" t="s">
        <v>756</v>
      </c>
      <c r="B263" s="8">
        <v>46284.21666666667</v>
      </c>
      <c r="C263" s="6" t="s">
        <v>1259</v>
      </c>
      <c r="D263" s="6" t="s">
        <v>44</v>
      </c>
      <c r="E263" s="6" t="s">
        <v>10</v>
      </c>
      <c r="F263" s="6">
        <v>1.0</v>
      </c>
      <c r="G263" s="9">
        <v>8990.0</v>
      </c>
      <c r="H263" s="6" t="s">
        <v>81</v>
      </c>
      <c r="I263" s="6" t="s">
        <v>39</v>
      </c>
    </row>
    <row r="264" ht="21.0" customHeight="1">
      <c r="A264" s="6" t="s">
        <v>759</v>
      </c>
      <c r="B264" s="8">
        <v>46284.34583333333</v>
      </c>
      <c r="C264" s="6" t="s">
        <v>1266</v>
      </c>
      <c r="D264" s="6" t="s">
        <v>55</v>
      </c>
      <c r="E264" s="6" t="s">
        <v>21</v>
      </c>
      <c r="F264" s="6">
        <v>1.0</v>
      </c>
      <c r="G264" s="9">
        <v>19990.0</v>
      </c>
      <c r="H264" s="6" t="s">
        <v>31</v>
      </c>
      <c r="I264" s="6" t="s">
        <v>39</v>
      </c>
    </row>
    <row r="265" ht="21.0" customHeight="1">
      <c r="A265" s="6" t="s">
        <v>761</v>
      </c>
      <c r="B265" s="8">
        <v>46284.475</v>
      </c>
      <c r="C265" s="6" t="s">
        <v>1271</v>
      </c>
      <c r="D265" s="6" t="s">
        <v>55</v>
      </c>
      <c r="E265" s="6" t="s">
        <v>21</v>
      </c>
      <c r="F265" s="6">
        <v>1.0</v>
      </c>
      <c r="G265" s="9">
        <v>19990.0</v>
      </c>
      <c r="H265" s="6" t="s">
        <v>121</v>
      </c>
      <c r="I265" s="6" t="s">
        <v>39</v>
      </c>
    </row>
    <row r="266" ht="21.0" customHeight="1">
      <c r="A266" s="6" t="s">
        <v>763</v>
      </c>
      <c r="B266" s="8">
        <v>46284.604166666664</v>
      </c>
      <c r="C266" s="6" t="s">
        <v>1278</v>
      </c>
      <c r="D266" s="6" t="s">
        <v>35</v>
      </c>
      <c r="E266" s="6" t="s">
        <v>18</v>
      </c>
      <c r="F266" s="6">
        <v>1.0</v>
      </c>
      <c r="G266" s="9">
        <v>12990.0</v>
      </c>
      <c r="H266" s="6" t="s">
        <v>31</v>
      </c>
      <c r="I266" s="6" t="s">
        <v>39</v>
      </c>
    </row>
    <row r="267" ht="21.0" customHeight="1">
      <c r="A267" s="6" t="s">
        <v>765</v>
      </c>
      <c r="B267" s="8">
        <v>46284.73333333333</v>
      </c>
      <c r="C267" s="6" t="s">
        <v>1283</v>
      </c>
      <c r="D267" s="6" t="s">
        <v>35</v>
      </c>
      <c r="E267" s="6" t="s">
        <v>18</v>
      </c>
      <c r="F267" s="6">
        <v>1.0</v>
      </c>
      <c r="G267" s="9">
        <v>12990.0</v>
      </c>
      <c r="H267" s="6" t="s">
        <v>47</v>
      </c>
      <c r="I267" s="6" t="s">
        <v>39</v>
      </c>
    </row>
    <row r="268" ht="21.0" customHeight="1">
      <c r="A268" s="6" t="s">
        <v>767</v>
      </c>
      <c r="B268" s="8">
        <v>46284.8625</v>
      </c>
      <c r="C268" s="6" t="s">
        <v>1288</v>
      </c>
      <c r="D268" s="6" t="s">
        <v>119</v>
      </c>
      <c r="E268" s="6" t="s">
        <v>14</v>
      </c>
      <c r="F268" s="6">
        <v>2.0</v>
      </c>
      <c r="G268" s="9">
        <v>49980.0</v>
      </c>
      <c r="H268" s="6" t="s">
        <v>121</v>
      </c>
      <c r="I268" s="6" t="s">
        <v>39</v>
      </c>
    </row>
    <row r="269" ht="21.0" customHeight="1">
      <c r="A269" s="6" t="s">
        <v>769</v>
      </c>
      <c r="B269" s="8">
        <v>46284.99166666667</v>
      </c>
      <c r="C269" s="6" t="s">
        <v>1295</v>
      </c>
      <c r="D269" s="6" t="s">
        <v>70</v>
      </c>
      <c r="E269" s="6" t="s">
        <v>12</v>
      </c>
      <c r="F269" s="6">
        <v>1.0</v>
      </c>
      <c r="G269" s="9">
        <v>34990.0</v>
      </c>
      <c r="H269" s="6" t="s">
        <v>81</v>
      </c>
      <c r="I269" s="6" t="s">
        <v>39</v>
      </c>
    </row>
    <row r="270" ht="21.0" customHeight="1">
      <c r="A270" s="6" t="s">
        <v>772</v>
      </c>
      <c r="B270" s="8">
        <v>46285.120833333334</v>
      </c>
      <c r="C270" s="6" t="s">
        <v>1300</v>
      </c>
      <c r="D270" s="6" t="s">
        <v>44</v>
      </c>
      <c r="E270" s="6" t="s">
        <v>10</v>
      </c>
      <c r="F270" s="6">
        <v>2.0</v>
      </c>
      <c r="G270" s="9">
        <v>17980.0</v>
      </c>
      <c r="H270" s="6" t="s">
        <v>31</v>
      </c>
      <c r="I270" s="6" t="s">
        <v>39</v>
      </c>
    </row>
    <row r="271" ht="21.0" customHeight="1">
      <c r="A271" s="6" t="s">
        <v>774</v>
      </c>
      <c r="B271" s="8">
        <v>46285.25</v>
      </c>
      <c r="C271" s="6" t="s">
        <v>1307</v>
      </c>
      <c r="D271" s="6" t="s">
        <v>96</v>
      </c>
      <c r="E271" s="6" t="s">
        <v>16</v>
      </c>
      <c r="F271" s="6">
        <v>1.0</v>
      </c>
      <c r="G271" s="9">
        <v>15990.0</v>
      </c>
      <c r="H271" s="6" t="s">
        <v>38</v>
      </c>
      <c r="I271" s="6" t="s">
        <v>39</v>
      </c>
    </row>
    <row r="272" ht="21.0" customHeight="1">
      <c r="A272" s="6" t="s">
        <v>777</v>
      </c>
      <c r="B272" s="8">
        <v>46285.379166666666</v>
      </c>
      <c r="C272" s="6" t="s">
        <v>1312</v>
      </c>
      <c r="D272" s="6" t="s">
        <v>96</v>
      </c>
      <c r="E272" s="6" t="s">
        <v>16</v>
      </c>
      <c r="F272" s="6">
        <v>2.0</v>
      </c>
      <c r="G272" s="9">
        <v>31980.0</v>
      </c>
      <c r="H272" s="6" t="s">
        <v>81</v>
      </c>
      <c r="I272" s="6" t="s">
        <v>39</v>
      </c>
    </row>
    <row r="273" ht="21.0" customHeight="1">
      <c r="A273" s="6" t="s">
        <v>779</v>
      </c>
      <c r="B273" s="8">
        <v>46285.50833333333</v>
      </c>
      <c r="C273" s="6" t="s">
        <v>1317</v>
      </c>
      <c r="D273" s="6" t="s">
        <v>44</v>
      </c>
      <c r="E273" s="6" t="s">
        <v>10</v>
      </c>
      <c r="F273" s="6">
        <v>1.0</v>
      </c>
      <c r="G273" s="9">
        <v>8990.0</v>
      </c>
      <c r="H273" s="6" t="s">
        <v>81</v>
      </c>
      <c r="I273" s="6" t="s">
        <v>39</v>
      </c>
    </row>
    <row r="274" ht="21.0" customHeight="1">
      <c r="A274" s="6" t="s">
        <v>782</v>
      </c>
      <c r="B274" s="8">
        <v>46285.6375</v>
      </c>
      <c r="C274" s="6" t="s">
        <v>1324</v>
      </c>
      <c r="D274" s="6" t="s">
        <v>55</v>
      </c>
      <c r="E274" s="6" t="s">
        <v>21</v>
      </c>
      <c r="F274" s="6">
        <v>1.0</v>
      </c>
      <c r="G274" s="9">
        <v>19990.0</v>
      </c>
      <c r="H274" s="6" t="s">
        <v>121</v>
      </c>
      <c r="I274" s="6" t="s">
        <v>39</v>
      </c>
    </row>
    <row r="275" ht="21.0" customHeight="1">
      <c r="A275" s="6" t="s">
        <v>784</v>
      </c>
      <c r="B275" s="8">
        <v>46285.76666666667</v>
      </c>
      <c r="C275" s="6" t="s">
        <v>1329</v>
      </c>
      <c r="D275" s="6" t="s">
        <v>44</v>
      </c>
      <c r="E275" s="6" t="s">
        <v>10</v>
      </c>
      <c r="F275" s="6">
        <v>1.0</v>
      </c>
      <c r="G275" s="9">
        <v>8990.0</v>
      </c>
      <c r="H275" s="6" t="s">
        <v>47</v>
      </c>
      <c r="I275" s="6" t="s">
        <v>39</v>
      </c>
    </row>
    <row r="276" ht="21.0" customHeight="1">
      <c r="A276" s="6" t="s">
        <v>787</v>
      </c>
      <c r="B276" s="8">
        <v>46285.895833333336</v>
      </c>
      <c r="C276" s="6" t="s">
        <v>1335</v>
      </c>
      <c r="D276" s="6" t="s">
        <v>44</v>
      </c>
      <c r="E276" s="6" t="s">
        <v>10</v>
      </c>
      <c r="F276" s="6">
        <v>2.0</v>
      </c>
      <c r="G276" s="9">
        <v>17980.0</v>
      </c>
      <c r="H276" s="6" t="s">
        <v>47</v>
      </c>
      <c r="I276" s="6" t="s">
        <v>39</v>
      </c>
    </row>
    <row r="277" ht="21.0" customHeight="1">
      <c r="A277" s="6" t="s">
        <v>789</v>
      </c>
      <c r="B277" s="8">
        <v>46286.025</v>
      </c>
      <c r="C277" s="6" t="s">
        <v>1341</v>
      </c>
      <c r="D277" s="6" t="s">
        <v>96</v>
      </c>
      <c r="E277" s="6" t="s">
        <v>16</v>
      </c>
      <c r="F277" s="6">
        <v>1.0</v>
      </c>
      <c r="G277" s="9">
        <v>15990.0</v>
      </c>
      <c r="H277" s="6" t="s">
        <v>31</v>
      </c>
      <c r="I277" s="6" t="s">
        <v>39</v>
      </c>
    </row>
    <row r="278" ht="21.0" customHeight="1">
      <c r="A278" s="6" t="s">
        <v>792</v>
      </c>
      <c r="B278" s="8">
        <v>46286.15416666667</v>
      </c>
      <c r="C278" s="6" t="s">
        <v>1344</v>
      </c>
      <c r="D278" s="6" t="s">
        <v>55</v>
      </c>
      <c r="E278" s="6" t="s">
        <v>21</v>
      </c>
      <c r="F278" s="6">
        <v>1.0</v>
      </c>
      <c r="G278" s="9">
        <v>19990.0</v>
      </c>
      <c r="H278" s="6" t="s">
        <v>81</v>
      </c>
      <c r="I278" s="6" t="s">
        <v>39</v>
      </c>
    </row>
    <row r="279" ht="21.0" customHeight="1">
      <c r="A279" s="6" t="s">
        <v>794</v>
      </c>
      <c r="B279" s="8">
        <v>46286.15694444445</v>
      </c>
      <c r="C279" s="6" t="s">
        <v>1344</v>
      </c>
      <c r="D279" s="6" t="s">
        <v>55</v>
      </c>
      <c r="E279" s="6" t="s">
        <v>21</v>
      </c>
      <c r="F279" s="6">
        <v>1.0</v>
      </c>
      <c r="G279" s="9">
        <v>19990.0</v>
      </c>
      <c r="H279" s="6" t="s">
        <v>81</v>
      </c>
      <c r="I279" s="6" t="s">
        <v>39</v>
      </c>
    </row>
    <row r="280" ht="21.0" customHeight="1">
      <c r="A280" s="6" t="s">
        <v>797</v>
      </c>
      <c r="B280" s="8">
        <v>46286.4125</v>
      </c>
      <c r="C280" s="6" t="s">
        <v>1345</v>
      </c>
      <c r="D280" s="6" t="s">
        <v>96</v>
      </c>
      <c r="E280" s="6" t="s">
        <v>16</v>
      </c>
      <c r="F280" s="6">
        <v>1.0</v>
      </c>
      <c r="G280" s="9">
        <v>15990.0</v>
      </c>
      <c r="H280" s="6" t="s">
        <v>51</v>
      </c>
      <c r="I280" s="6" t="s">
        <v>39</v>
      </c>
    </row>
    <row r="281" ht="21.0" customHeight="1">
      <c r="A281" s="6" t="s">
        <v>799</v>
      </c>
      <c r="B281" s="8">
        <v>46286.541666666664</v>
      </c>
      <c r="C281" s="6" t="s">
        <v>1346</v>
      </c>
      <c r="D281" s="6" t="s">
        <v>96</v>
      </c>
      <c r="E281" s="6" t="s">
        <v>16</v>
      </c>
      <c r="F281" s="6">
        <v>1.0</v>
      </c>
      <c r="G281" s="9">
        <v>15990.0</v>
      </c>
      <c r="H281" s="6" t="s">
        <v>31</v>
      </c>
      <c r="I281" s="6" t="s">
        <v>39</v>
      </c>
    </row>
    <row r="282" ht="21.0" customHeight="1">
      <c r="A282" s="6" t="s">
        <v>802</v>
      </c>
      <c r="B282" s="8">
        <v>46286.67083333333</v>
      </c>
      <c r="C282" s="6" t="s">
        <v>1347</v>
      </c>
      <c r="D282" s="6" t="s">
        <v>70</v>
      </c>
      <c r="E282" s="6" t="s">
        <v>12</v>
      </c>
      <c r="F282" s="6">
        <v>1.0</v>
      </c>
      <c r="G282" s="9">
        <v>34990.0</v>
      </c>
      <c r="H282" s="6" t="s">
        <v>31</v>
      </c>
      <c r="I282" s="6" t="s">
        <v>39</v>
      </c>
    </row>
    <row r="283" ht="21.0" customHeight="1">
      <c r="A283" s="6" t="s">
        <v>804</v>
      </c>
      <c r="B283" s="8">
        <v>46286.8</v>
      </c>
      <c r="C283" s="6" t="s">
        <v>1348</v>
      </c>
      <c r="D283" s="6" t="s">
        <v>55</v>
      </c>
      <c r="E283" s="6" t="s">
        <v>21</v>
      </c>
      <c r="F283" s="6">
        <v>1.0</v>
      </c>
      <c r="G283" s="9">
        <v>19990.0</v>
      </c>
      <c r="H283" s="6" t="s">
        <v>81</v>
      </c>
      <c r="I283" s="6" t="s">
        <v>39</v>
      </c>
    </row>
    <row r="284" ht="21.0" customHeight="1">
      <c r="A284" s="6" t="s">
        <v>807</v>
      </c>
      <c r="B284" s="8">
        <v>46286.92916666667</v>
      </c>
      <c r="C284" s="6" t="s">
        <v>1350</v>
      </c>
      <c r="D284" s="6" t="s">
        <v>96</v>
      </c>
      <c r="E284" s="6" t="s">
        <v>16</v>
      </c>
      <c r="F284" s="6">
        <v>1.0</v>
      </c>
      <c r="G284" s="9">
        <v>15990.0</v>
      </c>
      <c r="H284" s="6" t="s">
        <v>38</v>
      </c>
      <c r="I284" s="6" t="s">
        <v>39</v>
      </c>
    </row>
    <row r="285" ht="21.0" customHeight="1">
      <c r="A285" s="6" t="s">
        <v>809</v>
      </c>
      <c r="B285" s="8">
        <v>46287.058333333334</v>
      </c>
      <c r="C285" s="6" t="s">
        <v>1355</v>
      </c>
      <c r="D285" s="6" t="s">
        <v>55</v>
      </c>
      <c r="E285" s="6" t="s">
        <v>21</v>
      </c>
      <c r="F285" s="6">
        <v>1.0</v>
      </c>
      <c r="G285" s="9">
        <v>19990.0</v>
      </c>
      <c r="H285" s="6" t="s">
        <v>31</v>
      </c>
      <c r="I285" s="6" t="s">
        <v>39</v>
      </c>
    </row>
    <row r="286" ht="21.0" customHeight="1">
      <c r="A286" s="6" t="s">
        <v>812</v>
      </c>
      <c r="B286" s="8">
        <v>46287.1875</v>
      </c>
      <c r="C286" s="6" t="s">
        <v>1357</v>
      </c>
      <c r="D286" s="6" t="s">
        <v>44</v>
      </c>
      <c r="E286" s="6" t="s">
        <v>10</v>
      </c>
      <c r="F286" s="6">
        <v>1.0</v>
      </c>
      <c r="G286" s="9">
        <v>8990.0</v>
      </c>
      <c r="H286" s="6" t="s">
        <v>31</v>
      </c>
      <c r="I286" s="6" t="s">
        <v>39</v>
      </c>
    </row>
    <row r="287" ht="21.0" customHeight="1">
      <c r="A287" s="6" t="s">
        <v>814</v>
      </c>
      <c r="B287" s="8">
        <v>46287.316666666666</v>
      </c>
      <c r="C287" s="6" t="s">
        <v>1360</v>
      </c>
      <c r="D287" s="6" t="s">
        <v>35</v>
      </c>
      <c r="E287" s="6" t="s">
        <v>18</v>
      </c>
      <c r="F287" s="6">
        <v>1.0</v>
      </c>
      <c r="G287" s="9">
        <v>12990.0</v>
      </c>
      <c r="H287" s="6" t="s">
        <v>51</v>
      </c>
      <c r="I287" s="6" t="s">
        <v>39</v>
      </c>
    </row>
    <row r="288" ht="21.0" customHeight="1">
      <c r="A288" s="6" t="s">
        <v>818</v>
      </c>
      <c r="B288" s="8">
        <v>46287.44583333333</v>
      </c>
      <c r="C288" s="6" t="s">
        <v>1364</v>
      </c>
      <c r="D288" s="6" t="s">
        <v>119</v>
      </c>
      <c r="E288" s="6" t="s">
        <v>14</v>
      </c>
      <c r="F288" s="6">
        <v>1.0</v>
      </c>
      <c r="G288" s="9">
        <v>24990.0</v>
      </c>
      <c r="H288" s="6" t="s">
        <v>38</v>
      </c>
      <c r="I288" s="6" t="s">
        <v>39</v>
      </c>
    </row>
    <row r="289" ht="21.0" customHeight="1">
      <c r="A289" s="6" t="s">
        <v>820</v>
      </c>
      <c r="B289" s="8">
        <v>46287.575</v>
      </c>
      <c r="C289" s="6" t="s">
        <v>1368</v>
      </c>
      <c r="D289" s="6" t="s">
        <v>55</v>
      </c>
      <c r="E289" s="6" t="s">
        <v>21</v>
      </c>
      <c r="F289" s="6">
        <v>1.0</v>
      </c>
      <c r="G289" s="9">
        <v>19990.0</v>
      </c>
      <c r="H289" s="6" t="s">
        <v>38</v>
      </c>
      <c r="I289" s="6" t="s">
        <v>39</v>
      </c>
    </row>
    <row r="290" ht="21.0" customHeight="1">
      <c r="A290" s="6" t="s">
        <v>823</v>
      </c>
      <c r="B290" s="8">
        <v>46287.70416666667</v>
      </c>
      <c r="C290" s="6" t="s">
        <v>1371</v>
      </c>
      <c r="D290" s="6" t="s">
        <v>35</v>
      </c>
      <c r="E290" s="6" t="s">
        <v>18</v>
      </c>
      <c r="F290" s="6">
        <v>1.0</v>
      </c>
      <c r="G290" s="9">
        <v>12990.0</v>
      </c>
      <c r="H290" s="6" t="s">
        <v>81</v>
      </c>
      <c r="I290" s="6" t="s">
        <v>39</v>
      </c>
    </row>
    <row r="291" ht="21.0" customHeight="1">
      <c r="A291" s="6" t="s">
        <v>825</v>
      </c>
      <c r="B291" s="8">
        <v>46287.833333333336</v>
      </c>
      <c r="C291" s="6" t="s">
        <v>1375</v>
      </c>
      <c r="D291" s="6" t="s">
        <v>44</v>
      </c>
      <c r="E291" s="6" t="s">
        <v>10</v>
      </c>
      <c r="F291" s="6">
        <v>1.0</v>
      </c>
      <c r="G291" s="9">
        <v>8990.0</v>
      </c>
      <c r="H291" s="6" t="s">
        <v>51</v>
      </c>
      <c r="I291" s="6" t="s">
        <v>39</v>
      </c>
    </row>
    <row r="292" ht="21.0" customHeight="1">
      <c r="A292" s="6" t="s">
        <v>828</v>
      </c>
      <c r="B292" s="8">
        <v>46287.9625</v>
      </c>
      <c r="C292" s="6" t="s">
        <v>1379</v>
      </c>
      <c r="D292" s="6" t="s">
        <v>70</v>
      </c>
      <c r="E292" s="6" t="s">
        <v>12</v>
      </c>
      <c r="F292" s="6">
        <v>1.0</v>
      </c>
      <c r="G292" s="9">
        <v>34990.0</v>
      </c>
      <c r="H292" s="6" t="s">
        <v>51</v>
      </c>
      <c r="I292" s="6" t="s">
        <v>39</v>
      </c>
    </row>
    <row r="293" ht="21.0" customHeight="1">
      <c r="A293" s="6" t="s">
        <v>832</v>
      </c>
      <c r="B293" s="8">
        <v>46288.09166666667</v>
      </c>
      <c r="C293" s="6" t="s">
        <v>1383</v>
      </c>
      <c r="D293" s="6" t="s">
        <v>55</v>
      </c>
      <c r="E293" s="6" t="s">
        <v>21</v>
      </c>
      <c r="F293" s="6">
        <v>1.0</v>
      </c>
      <c r="G293" s="9">
        <v>19990.0</v>
      </c>
      <c r="H293" s="6" t="s">
        <v>47</v>
      </c>
      <c r="I293" s="6" t="s">
        <v>39</v>
      </c>
    </row>
    <row r="294" ht="21.0" customHeight="1">
      <c r="A294" s="6" t="s">
        <v>835</v>
      </c>
      <c r="B294" s="8">
        <v>46288.22083333333</v>
      </c>
      <c r="C294" s="6" t="s">
        <v>1386</v>
      </c>
      <c r="D294" s="6" t="s">
        <v>70</v>
      </c>
      <c r="E294" s="6" t="s">
        <v>12</v>
      </c>
      <c r="F294" s="6">
        <v>1.0</v>
      </c>
      <c r="G294" s="9">
        <v>34990.0</v>
      </c>
      <c r="H294" s="6" t="s">
        <v>47</v>
      </c>
      <c r="I294" s="6" t="s">
        <v>39</v>
      </c>
    </row>
    <row r="295" ht="21.0" customHeight="1">
      <c r="A295" s="6" t="s">
        <v>837</v>
      </c>
      <c r="B295" s="8">
        <v>46288.35</v>
      </c>
      <c r="C295" s="6" t="s">
        <v>1391</v>
      </c>
      <c r="D295" s="6" t="s">
        <v>35</v>
      </c>
      <c r="E295" s="6" t="s">
        <v>18</v>
      </c>
      <c r="F295" s="6">
        <v>1.0</v>
      </c>
      <c r="G295" s="9">
        <v>12990.0</v>
      </c>
      <c r="H295" s="6" t="s">
        <v>47</v>
      </c>
      <c r="I295" s="6" t="s">
        <v>39</v>
      </c>
    </row>
    <row r="296" ht="21.0" customHeight="1">
      <c r="A296" s="6" t="s">
        <v>840</v>
      </c>
      <c r="B296" s="8">
        <v>46288.479166666664</v>
      </c>
      <c r="C296" s="6" t="s">
        <v>1394</v>
      </c>
      <c r="D296" s="6" t="s">
        <v>119</v>
      </c>
      <c r="E296" s="6" t="s">
        <v>14</v>
      </c>
      <c r="F296" s="6">
        <v>1.0</v>
      </c>
      <c r="G296" s="9">
        <v>24990.0</v>
      </c>
      <c r="H296" s="6" t="s">
        <v>81</v>
      </c>
      <c r="I296" s="6" t="s">
        <v>39</v>
      </c>
    </row>
    <row r="297" ht="21.0" customHeight="1">
      <c r="A297" s="6" t="s">
        <v>842</v>
      </c>
      <c r="B297" s="8">
        <v>46288.60833333333</v>
      </c>
      <c r="C297" s="6" t="s">
        <v>1397</v>
      </c>
      <c r="D297" s="6" t="s">
        <v>55</v>
      </c>
      <c r="E297" s="6" t="s">
        <v>21</v>
      </c>
      <c r="F297" s="6">
        <v>1.0</v>
      </c>
      <c r="G297" s="9">
        <v>19990.0</v>
      </c>
      <c r="H297" s="6" t="s">
        <v>31</v>
      </c>
      <c r="I297" s="6" t="s">
        <v>39</v>
      </c>
    </row>
    <row r="298" ht="21.0" customHeight="1">
      <c r="A298" s="6" t="s">
        <v>845</v>
      </c>
      <c r="B298" s="8">
        <v>46288.7375</v>
      </c>
      <c r="C298" s="6" t="s">
        <v>1401</v>
      </c>
      <c r="D298" s="6" t="s">
        <v>44</v>
      </c>
      <c r="E298" s="6" t="s">
        <v>10</v>
      </c>
      <c r="F298" s="6">
        <v>1.0</v>
      </c>
      <c r="G298" s="9">
        <v>8990.0</v>
      </c>
      <c r="H298" s="6" t="s">
        <v>47</v>
      </c>
      <c r="I298" s="6" t="s">
        <v>39</v>
      </c>
    </row>
    <row r="299" ht="21.0" customHeight="1">
      <c r="A299" s="6" t="s">
        <v>847</v>
      </c>
      <c r="B299" s="8">
        <v>46288.86666666667</v>
      </c>
      <c r="C299" s="6" t="s">
        <v>1404</v>
      </c>
      <c r="D299" s="6" t="s">
        <v>44</v>
      </c>
      <c r="E299" s="6" t="s">
        <v>10</v>
      </c>
      <c r="F299" s="6">
        <v>1.0</v>
      </c>
      <c r="G299" s="9">
        <v>8990.0</v>
      </c>
      <c r="H299" s="6" t="s">
        <v>81</v>
      </c>
      <c r="I299" s="6" t="s">
        <v>39</v>
      </c>
    </row>
    <row r="300" ht="21.0" customHeight="1">
      <c r="A300" s="6" t="s">
        <v>850</v>
      </c>
      <c r="B300" s="8">
        <v>46288.995833333334</v>
      </c>
      <c r="C300" s="6" t="s">
        <v>1408</v>
      </c>
      <c r="D300" s="6" t="s">
        <v>70</v>
      </c>
      <c r="E300" s="6" t="s">
        <v>12</v>
      </c>
      <c r="F300" s="6">
        <v>1.0</v>
      </c>
      <c r="G300" s="9">
        <v>34990.0</v>
      </c>
      <c r="H300" s="6" t="s">
        <v>121</v>
      </c>
      <c r="I300" s="6" t="s">
        <v>39</v>
      </c>
    </row>
    <row r="301" ht="21.0" customHeight="1">
      <c r="A301" s="6" t="s">
        <v>852</v>
      </c>
      <c r="B301" s="8">
        <v>46289.125</v>
      </c>
      <c r="C301" s="6" t="s">
        <v>1411</v>
      </c>
      <c r="D301" s="6" t="s">
        <v>55</v>
      </c>
      <c r="E301" s="6" t="s">
        <v>21</v>
      </c>
      <c r="F301" s="6">
        <v>1.0</v>
      </c>
      <c r="G301" s="9">
        <v>19990.0</v>
      </c>
      <c r="H301" s="6" t="s">
        <v>31</v>
      </c>
      <c r="I301" s="6" t="s">
        <v>39</v>
      </c>
    </row>
    <row r="302" ht="21.0" customHeight="1">
      <c r="A302" s="6" t="s">
        <v>855</v>
      </c>
      <c r="B302" s="8">
        <v>46289.254166666666</v>
      </c>
      <c r="C302" s="6" t="s">
        <v>1414</v>
      </c>
      <c r="D302" s="6" t="s">
        <v>55</v>
      </c>
      <c r="E302" s="6" t="s">
        <v>21</v>
      </c>
      <c r="F302" s="6">
        <v>1.0</v>
      </c>
      <c r="G302" s="9">
        <v>19990.0</v>
      </c>
      <c r="H302" s="6" t="s">
        <v>51</v>
      </c>
      <c r="I302" s="6" t="s">
        <v>39</v>
      </c>
    </row>
    <row r="303" ht="21.0" customHeight="1">
      <c r="A303" s="6" t="s">
        <v>857</v>
      </c>
      <c r="B303" s="8">
        <v>46289.38333333333</v>
      </c>
      <c r="C303" s="6" t="s">
        <v>1418</v>
      </c>
      <c r="D303" s="6" t="s">
        <v>35</v>
      </c>
      <c r="E303" s="6" t="s">
        <v>18</v>
      </c>
      <c r="F303" s="6">
        <v>1.0</v>
      </c>
      <c r="G303" s="9">
        <v>12990.0</v>
      </c>
      <c r="H303" s="6" t="s">
        <v>38</v>
      </c>
      <c r="I303" s="6" t="s">
        <v>39</v>
      </c>
    </row>
    <row r="304" ht="21.0" customHeight="1">
      <c r="A304" s="6" t="s">
        <v>860</v>
      </c>
      <c r="B304" s="8">
        <v>46289.5125</v>
      </c>
      <c r="C304" s="6" t="s">
        <v>1421</v>
      </c>
      <c r="D304" s="6" t="s">
        <v>96</v>
      </c>
      <c r="E304" s="6" t="s">
        <v>16</v>
      </c>
      <c r="F304" s="6">
        <v>2.0</v>
      </c>
      <c r="G304" s="9">
        <v>31980.0</v>
      </c>
      <c r="H304" s="6" t="s">
        <v>47</v>
      </c>
      <c r="I304" s="6" t="s">
        <v>39</v>
      </c>
    </row>
    <row r="305" ht="21.0" customHeight="1">
      <c r="A305" s="6" t="s">
        <v>862</v>
      </c>
      <c r="B305" s="8">
        <v>46289.64166666667</v>
      </c>
      <c r="C305" s="6" t="s">
        <v>1424</v>
      </c>
      <c r="D305" s="6" t="s">
        <v>44</v>
      </c>
      <c r="E305" s="6" t="s">
        <v>10</v>
      </c>
      <c r="F305" s="6">
        <v>1.0</v>
      </c>
      <c r="G305" s="9">
        <v>8990.0</v>
      </c>
      <c r="H305" s="6" t="s">
        <v>81</v>
      </c>
      <c r="I305" s="6" t="s">
        <v>39</v>
      </c>
    </row>
    <row r="306" ht="21.0" customHeight="1">
      <c r="A306" s="6" t="s">
        <v>864</v>
      </c>
      <c r="B306" s="8">
        <v>46289.770833333336</v>
      </c>
      <c r="C306" s="6" t="s">
        <v>1427</v>
      </c>
      <c r="D306" s="6" t="s">
        <v>119</v>
      </c>
      <c r="E306" s="6" t="s">
        <v>14</v>
      </c>
      <c r="F306" s="6">
        <v>1.0</v>
      </c>
      <c r="G306" s="9">
        <v>24990.0</v>
      </c>
      <c r="H306" s="6" t="s">
        <v>38</v>
      </c>
      <c r="I306" s="6" t="s">
        <v>39</v>
      </c>
    </row>
    <row r="307" ht="21.0" customHeight="1">
      <c r="A307" s="6" t="s">
        <v>867</v>
      </c>
      <c r="B307" s="8">
        <v>46289.9</v>
      </c>
      <c r="C307" s="6" t="s">
        <v>1430</v>
      </c>
      <c r="D307" s="6" t="s">
        <v>119</v>
      </c>
      <c r="E307" s="6" t="s">
        <v>14</v>
      </c>
      <c r="F307" s="6">
        <v>1.0</v>
      </c>
      <c r="G307" s="9">
        <v>24990.0</v>
      </c>
      <c r="H307" s="6" t="s">
        <v>121</v>
      </c>
      <c r="I307" s="6" t="s">
        <v>39</v>
      </c>
    </row>
    <row r="308" ht="21.0" customHeight="1">
      <c r="A308" s="6" t="s">
        <v>869</v>
      </c>
      <c r="B308" s="8">
        <v>46290.02916666667</v>
      </c>
      <c r="C308" s="6" t="s">
        <v>1433</v>
      </c>
      <c r="D308" s="6" t="s">
        <v>70</v>
      </c>
      <c r="E308" s="6" t="s">
        <v>12</v>
      </c>
      <c r="F308" s="6">
        <v>1.0</v>
      </c>
      <c r="G308" s="9">
        <v>34990.0</v>
      </c>
      <c r="H308" s="6" t="s">
        <v>121</v>
      </c>
      <c r="I308" s="6" t="s">
        <v>39</v>
      </c>
    </row>
    <row r="309" ht="21.0" customHeight="1">
      <c r="A309" s="6" t="s">
        <v>872</v>
      </c>
      <c r="B309" s="8">
        <v>46290.15833333333</v>
      </c>
      <c r="C309" s="6" t="s">
        <v>1436</v>
      </c>
      <c r="D309" s="6" t="s">
        <v>119</v>
      </c>
      <c r="E309" s="6" t="s">
        <v>14</v>
      </c>
      <c r="F309" s="6">
        <v>1.0</v>
      </c>
      <c r="G309" s="9">
        <v>24990.0</v>
      </c>
      <c r="H309" s="6" t="s">
        <v>121</v>
      </c>
      <c r="I309" s="6" t="s">
        <v>39</v>
      </c>
    </row>
    <row r="310" ht="21.0" customHeight="1">
      <c r="A310" s="6" t="s">
        <v>874</v>
      </c>
      <c r="B310" s="8">
        <v>46290.2875</v>
      </c>
      <c r="C310" s="6" t="s">
        <v>1440</v>
      </c>
      <c r="D310" s="6" t="s">
        <v>44</v>
      </c>
      <c r="E310" s="6" t="s">
        <v>10</v>
      </c>
      <c r="F310" s="6">
        <v>1.0</v>
      </c>
      <c r="G310" s="9">
        <v>8990.0</v>
      </c>
      <c r="H310" s="6" t="s">
        <v>47</v>
      </c>
      <c r="I310" s="6" t="s">
        <v>39</v>
      </c>
    </row>
    <row r="311" ht="21.0" customHeight="1">
      <c r="A311" s="6" t="s">
        <v>876</v>
      </c>
      <c r="B311" s="8">
        <v>46290.416666666664</v>
      </c>
      <c r="C311" s="6" t="s">
        <v>1443</v>
      </c>
      <c r="D311" s="6" t="s">
        <v>44</v>
      </c>
      <c r="E311" s="6" t="s">
        <v>10</v>
      </c>
      <c r="F311" s="6">
        <v>1.0</v>
      </c>
      <c r="G311" s="9">
        <v>8990.0</v>
      </c>
      <c r="H311" s="6" t="s">
        <v>51</v>
      </c>
      <c r="I311" s="6" t="s">
        <v>39</v>
      </c>
    </row>
    <row r="312" ht="21.0" customHeight="1">
      <c r="A312" s="6" t="s">
        <v>879</v>
      </c>
      <c r="B312" s="8">
        <v>46290.54583333333</v>
      </c>
      <c r="C312" s="6" t="s">
        <v>1446</v>
      </c>
      <c r="D312" s="6" t="s">
        <v>119</v>
      </c>
      <c r="E312" s="6" t="s">
        <v>14</v>
      </c>
      <c r="F312" s="6">
        <v>1.0</v>
      </c>
      <c r="G312" s="9">
        <v>24990.0</v>
      </c>
      <c r="H312" s="6" t="s">
        <v>31</v>
      </c>
      <c r="I312" s="6" t="s">
        <v>39</v>
      </c>
    </row>
    <row r="313" ht="21.0" customHeight="1">
      <c r="A313" s="6" t="s">
        <v>881</v>
      </c>
      <c r="B313" s="8">
        <v>46290.54861111111</v>
      </c>
      <c r="C313" s="6" t="s">
        <v>1446</v>
      </c>
      <c r="D313" s="6" t="s">
        <v>119</v>
      </c>
      <c r="E313" s="6" t="s">
        <v>14</v>
      </c>
      <c r="F313" s="6">
        <v>1.0</v>
      </c>
      <c r="G313" s="9">
        <v>24990.0</v>
      </c>
      <c r="H313" s="6" t="s">
        <v>31</v>
      </c>
      <c r="I313" s="6" t="s">
        <v>39</v>
      </c>
    </row>
    <row r="314" ht="21.0" customHeight="1">
      <c r="A314" s="6" t="s">
        <v>884</v>
      </c>
      <c r="B314" s="8">
        <v>46290.80416666667</v>
      </c>
      <c r="C314" s="6" t="s">
        <v>1452</v>
      </c>
      <c r="D314" s="6" t="s">
        <v>35</v>
      </c>
      <c r="E314" s="6" t="s">
        <v>18</v>
      </c>
      <c r="F314" s="6">
        <v>1.0</v>
      </c>
      <c r="G314" s="9">
        <v>12990.0</v>
      </c>
      <c r="H314" s="6" t="s">
        <v>31</v>
      </c>
      <c r="I314" s="6" t="s">
        <v>39</v>
      </c>
    </row>
    <row r="315" ht="21.0" customHeight="1">
      <c r="A315" s="6" t="s">
        <v>886</v>
      </c>
      <c r="B315" s="8">
        <v>46290.933333333334</v>
      </c>
      <c r="C315" s="6" t="s">
        <v>1455</v>
      </c>
      <c r="D315" s="6" t="s">
        <v>119</v>
      </c>
      <c r="E315" s="6" t="s">
        <v>14</v>
      </c>
      <c r="F315" s="6">
        <v>2.0</v>
      </c>
      <c r="G315" s="9">
        <v>49980.0</v>
      </c>
      <c r="H315" s="6" t="s">
        <v>31</v>
      </c>
      <c r="I315" s="6" t="s">
        <v>39</v>
      </c>
    </row>
    <row r="316" ht="21.0" customHeight="1">
      <c r="A316" s="6" t="s">
        <v>890</v>
      </c>
      <c r="B316" s="8">
        <v>46291.0625</v>
      </c>
      <c r="C316" s="6" t="s">
        <v>1458</v>
      </c>
      <c r="D316" s="6" t="s">
        <v>96</v>
      </c>
      <c r="E316" s="6" t="s">
        <v>16</v>
      </c>
      <c r="F316" s="6">
        <v>1.0</v>
      </c>
      <c r="G316" s="9">
        <v>15990.0</v>
      </c>
      <c r="H316" s="6" t="s">
        <v>51</v>
      </c>
      <c r="I316" s="6" t="s">
        <v>39</v>
      </c>
    </row>
    <row r="317" ht="21.0" customHeight="1">
      <c r="A317" s="6" t="s">
        <v>892</v>
      </c>
      <c r="B317" s="8">
        <v>46291.191666666666</v>
      </c>
      <c r="C317" s="6" t="s">
        <v>1461</v>
      </c>
      <c r="D317" s="6" t="s">
        <v>119</v>
      </c>
      <c r="E317" s="6" t="s">
        <v>14</v>
      </c>
      <c r="F317" s="6">
        <v>1.0</v>
      </c>
      <c r="G317" s="9">
        <v>24990.0</v>
      </c>
      <c r="H317" s="6" t="s">
        <v>81</v>
      </c>
      <c r="I317" s="6" t="s">
        <v>39</v>
      </c>
    </row>
    <row r="318" ht="21.0" customHeight="1">
      <c r="A318" s="6" t="s">
        <v>894</v>
      </c>
      <c r="B318" s="8">
        <v>46291.32083333333</v>
      </c>
      <c r="C318" s="6" t="s">
        <v>1467</v>
      </c>
      <c r="D318" s="6" t="s">
        <v>55</v>
      </c>
      <c r="E318" s="6" t="s">
        <v>21</v>
      </c>
      <c r="F318" s="6">
        <v>1.0</v>
      </c>
      <c r="G318" s="9">
        <v>19990.0</v>
      </c>
      <c r="H318" s="6" t="s">
        <v>38</v>
      </c>
      <c r="I318" s="6" t="s">
        <v>39</v>
      </c>
    </row>
    <row r="319" ht="21.0" customHeight="1">
      <c r="A319" s="6" t="s">
        <v>897</v>
      </c>
      <c r="B319" s="8">
        <v>46291.45</v>
      </c>
      <c r="C319" s="6" t="s">
        <v>1470</v>
      </c>
      <c r="D319" s="6" t="s">
        <v>96</v>
      </c>
      <c r="E319" s="6" t="s">
        <v>16</v>
      </c>
      <c r="F319" s="6">
        <v>1.0</v>
      </c>
      <c r="G319" s="9">
        <v>15990.0</v>
      </c>
      <c r="H319" s="6" t="s">
        <v>31</v>
      </c>
      <c r="I319" s="6" t="s">
        <v>39</v>
      </c>
    </row>
    <row r="320" ht="21.0" customHeight="1">
      <c r="A320" s="6" t="s">
        <v>899</v>
      </c>
      <c r="B320" s="8">
        <v>46291.57916666667</v>
      </c>
      <c r="C320" s="6" t="s">
        <v>1473</v>
      </c>
      <c r="D320" s="6" t="s">
        <v>70</v>
      </c>
      <c r="E320" s="6" t="s">
        <v>12</v>
      </c>
      <c r="F320" s="6">
        <v>1.0</v>
      </c>
      <c r="G320" s="9">
        <v>34990.0</v>
      </c>
      <c r="H320" s="6" t="s">
        <v>81</v>
      </c>
      <c r="I320" s="6" t="s">
        <v>39</v>
      </c>
    </row>
    <row r="321" ht="21.0" customHeight="1">
      <c r="A321" s="6" t="s">
        <v>902</v>
      </c>
      <c r="B321" s="8">
        <v>46291.708333333336</v>
      </c>
      <c r="C321" s="6" t="s">
        <v>1478</v>
      </c>
      <c r="D321" s="6" t="s">
        <v>70</v>
      </c>
      <c r="E321" s="6" t="s">
        <v>12</v>
      </c>
      <c r="F321" s="6">
        <v>1.0</v>
      </c>
      <c r="G321" s="9">
        <v>34990.0</v>
      </c>
      <c r="H321" s="6" t="s">
        <v>81</v>
      </c>
      <c r="I321" s="6" t="s">
        <v>39</v>
      </c>
    </row>
    <row r="322" ht="21.0" customHeight="1">
      <c r="A322" s="6" t="s">
        <v>904</v>
      </c>
      <c r="B322" s="8">
        <v>46291.8375</v>
      </c>
      <c r="C322" s="6" t="s">
        <v>1486</v>
      </c>
      <c r="D322" s="6" t="s">
        <v>44</v>
      </c>
      <c r="E322" s="6" t="s">
        <v>10</v>
      </c>
      <c r="F322" s="6">
        <v>2.0</v>
      </c>
      <c r="G322" s="9">
        <v>17980.0</v>
      </c>
      <c r="H322" s="6" t="s">
        <v>121</v>
      </c>
      <c r="I322" s="6" t="s">
        <v>39</v>
      </c>
    </row>
    <row r="323" ht="21.0" customHeight="1">
      <c r="A323" s="6" t="s">
        <v>906</v>
      </c>
      <c r="B323" s="8">
        <v>46291.96666666667</v>
      </c>
      <c r="C323" s="6" t="s">
        <v>1491</v>
      </c>
      <c r="D323" s="6" t="s">
        <v>55</v>
      </c>
      <c r="E323" s="6" t="s">
        <v>21</v>
      </c>
      <c r="F323" s="6">
        <v>1.0</v>
      </c>
      <c r="G323" s="9">
        <v>19990.0</v>
      </c>
      <c r="H323" s="6" t="s">
        <v>31</v>
      </c>
      <c r="I323" s="6" t="s">
        <v>39</v>
      </c>
    </row>
    <row r="324" ht="21.0" customHeight="1">
      <c r="A324" s="6" t="s">
        <v>909</v>
      </c>
      <c r="B324" s="8">
        <v>46292.09583333333</v>
      </c>
      <c r="C324" s="6" t="s">
        <v>1499</v>
      </c>
      <c r="D324" s="6" t="s">
        <v>96</v>
      </c>
      <c r="E324" s="6" t="s">
        <v>16</v>
      </c>
      <c r="F324" s="6">
        <v>2.0</v>
      </c>
      <c r="G324" s="9">
        <v>31980.0</v>
      </c>
      <c r="H324" s="6" t="s">
        <v>51</v>
      </c>
      <c r="I324" s="6" t="s">
        <v>39</v>
      </c>
    </row>
    <row r="325" ht="21.0" customHeight="1">
      <c r="A325" s="6" t="s">
        <v>911</v>
      </c>
      <c r="B325" s="8">
        <v>46292.225</v>
      </c>
      <c r="C325" s="6" t="s">
        <v>1506</v>
      </c>
      <c r="D325" s="6" t="s">
        <v>55</v>
      </c>
      <c r="E325" s="6" t="s">
        <v>21</v>
      </c>
      <c r="F325" s="6">
        <v>1.0</v>
      </c>
      <c r="G325" s="9">
        <v>19990.0</v>
      </c>
      <c r="H325" s="6" t="s">
        <v>81</v>
      </c>
      <c r="I325" s="6" t="s">
        <v>39</v>
      </c>
    </row>
    <row r="326" ht="21.0" customHeight="1">
      <c r="A326" s="6" t="s">
        <v>914</v>
      </c>
      <c r="B326" s="8">
        <v>46292.354166666664</v>
      </c>
      <c r="C326" s="6" t="s">
        <v>1511</v>
      </c>
      <c r="D326" s="6" t="s">
        <v>35</v>
      </c>
      <c r="E326" s="6" t="s">
        <v>18</v>
      </c>
      <c r="F326" s="6">
        <v>1.0</v>
      </c>
      <c r="G326" s="9">
        <v>12990.0</v>
      </c>
      <c r="H326" s="6" t="s">
        <v>47</v>
      </c>
      <c r="I326" s="6" t="s">
        <v>39</v>
      </c>
    </row>
    <row r="327" ht="21.0" customHeight="1">
      <c r="A327" s="6" t="s">
        <v>916</v>
      </c>
      <c r="B327" s="8">
        <v>46292.48333333333</v>
      </c>
      <c r="C327" s="6" t="s">
        <v>1517</v>
      </c>
      <c r="D327" s="6" t="s">
        <v>119</v>
      </c>
      <c r="E327" s="6" t="s">
        <v>14</v>
      </c>
      <c r="F327" s="6">
        <v>1.0</v>
      </c>
      <c r="G327" s="9">
        <v>24990.0</v>
      </c>
      <c r="H327" s="6" t="s">
        <v>47</v>
      </c>
      <c r="I327" s="6" t="s">
        <v>39</v>
      </c>
    </row>
    <row r="328" ht="21.0" customHeight="1">
      <c r="A328" s="6" t="s">
        <v>918</v>
      </c>
      <c r="B328" s="8">
        <v>46292.6125</v>
      </c>
      <c r="C328" s="6" t="s">
        <v>1525</v>
      </c>
      <c r="D328" s="6" t="s">
        <v>70</v>
      </c>
      <c r="E328" s="6" t="s">
        <v>12</v>
      </c>
      <c r="F328" s="6">
        <v>1.0</v>
      </c>
      <c r="G328" s="9">
        <v>34990.0</v>
      </c>
      <c r="H328" s="6" t="s">
        <v>47</v>
      </c>
      <c r="I328" s="6" t="s">
        <v>39</v>
      </c>
    </row>
    <row r="329" ht="21.0" customHeight="1">
      <c r="A329" s="6" t="s">
        <v>921</v>
      </c>
      <c r="B329" s="8">
        <v>46292.74166666667</v>
      </c>
      <c r="C329" s="6" t="s">
        <v>1530</v>
      </c>
      <c r="D329" s="6" t="s">
        <v>55</v>
      </c>
      <c r="E329" s="6" t="s">
        <v>21</v>
      </c>
      <c r="F329" s="6">
        <v>2.0</v>
      </c>
      <c r="G329" s="9">
        <v>39980.0</v>
      </c>
      <c r="H329" s="6" t="s">
        <v>47</v>
      </c>
      <c r="I329" s="6" t="s">
        <v>39</v>
      </c>
    </row>
    <row r="330" ht="21.0" customHeight="1">
      <c r="A330" s="6" t="s">
        <v>923</v>
      </c>
      <c r="B330" s="8">
        <v>46292.870833333334</v>
      </c>
      <c r="C330" s="6" t="s">
        <v>1536</v>
      </c>
      <c r="D330" s="6" t="s">
        <v>35</v>
      </c>
      <c r="E330" s="6" t="s">
        <v>18</v>
      </c>
      <c r="F330" s="6">
        <v>1.0</v>
      </c>
      <c r="G330" s="9">
        <v>12990.0</v>
      </c>
      <c r="H330" s="6" t="s">
        <v>121</v>
      </c>
      <c r="I330" s="6" t="s">
        <v>39</v>
      </c>
    </row>
    <row r="331" ht="21.0" customHeight="1">
      <c r="A331" s="6" t="s">
        <v>925</v>
      </c>
      <c r="B331" s="8">
        <v>46293.0</v>
      </c>
      <c r="C331" s="6" t="s">
        <v>1538</v>
      </c>
      <c r="D331" s="6" t="s">
        <v>70</v>
      </c>
      <c r="E331" s="6" t="s">
        <v>12</v>
      </c>
      <c r="F331" s="6">
        <v>1.0</v>
      </c>
      <c r="G331" s="9">
        <v>34990.0</v>
      </c>
      <c r="H331" s="6" t="s">
        <v>31</v>
      </c>
      <c r="I331" s="6" t="s">
        <v>39</v>
      </c>
    </row>
    <row r="332" ht="21.0" customHeight="1">
      <c r="A332" s="6" t="s">
        <v>927</v>
      </c>
      <c r="B332" s="8">
        <v>46293.129166666666</v>
      </c>
      <c r="C332" s="6" t="s">
        <v>1539</v>
      </c>
      <c r="D332" s="6" t="s">
        <v>44</v>
      </c>
      <c r="E332" s="6" t="s">
        <v>10</v>
      </c>
      <c r="F332" s="6">
        <v>2.0</v>
      </c>
      <c r="G332" s="9">
        <v>17980.0</v>
      </c>
      <c r="H332" s="6" t="s">
        <v>121</v>
      </c>
      <c r="I332" s="6" t="s">
        <v>39</v>
      </c>
    </row>
    <row r="333" ht="21.0" customHeight="1">
      <c r="A333" s="6" t="s">
        <v>930</v>
      </c>
      <c r="B333" s="8">
        <v>46293.25833333333</v>
      </c>
      <c r="C333" s="6" t="s">
        <v>1541</v>
      </c>
      <c r="D333" s="6" t="s">
        <v>96</v>
      </c>
      <c r="E333" s="6" t="s">
        <v>16</v>
      </c>
      <c r="F333" s="6">
        <v>1.0</v>
      </c>
      <c r="G333" s="9">
        <v>15990.0</v>
      </c>
      <c r="H333" s="6" t="s">
        <v>38</v>
      </c>
      <c r="I333" s="6" t="s">
        <v>39</v>
      </c>
    </row>
    <row r="334" ht="21.0" customHeight="1">
      <c r="A334" s="6" t="s">
        <v>932</v>
      </c>
      <c r="B334" s="8">
        <v>46293.3875</v>
      </c>
      <c r="C334" s="6" t="s">
        <v>1549</v>
      </c>
      <c r="D334" s="6" t="s">
        <v>70</v>
      </c>
      <c r="E334" s="6" t="s">
        <v>12</v>
      </c>
      <c r="F334" s="6">
        <v>1.0</v>
      </c>
      <c r="G334" s="9">
        <v>34990.0</v>
      </c>
      <c r="H334" s="6" t="s">
        <v>47</v>
      </c>
      <c r="I334" s="6" t="s">
        <v>39</v>
      </c>
    </row>
    <row r="335" ht="21.0" customHeight="1">
      <c r="A335" s="6" t="s">
        <v>935</v>
      </c>
      <c r="B335" s="8">
        <v>46293.51666666667</v>
      </c>
      <c r="C335" s="6" t="s">
        <v>1554</v>
      </c>
      <c r="D335" s="6" t="s">
        <v>35</v>
      </c>
      <c r="E335" s="6" t="s">
        <v>18</v>
      </c>
      <c r="F335" s="6">
        <v>1.0</v>
      </c>
      <c r="G335" s="9">
        <v>12990.0</v>
      </c>
      <c r="H335" s="6" t="s">
        <v>31</v>
      </c>
      <c r="I335" s="6" t="s">
        <v>39</v>
      </c>
    </row>
    <row r="336" ht="21.0" customHeight="1">
      <c r="A336" s="6" t="s">
        <v>937</v>
      </c>
      <c r="B336" s="8">
        <v>46293.645833333336</v>
      </c>
      <c r="C336" s="6" t="s">
        <v>1559</v>
      </c>
      <c r="D336" s="6" t="s">
        <v>44</v>
      </c>
      <c r="E336" s="6" t="s">
        <v>10</v>
      </c>
      <c r="F336" s="6">
        <v>1.0</v>
      </c>
      <c r="G336" s="9">
        <v>8990.0</v>
      </c>
      <c r="H336" s="6" t="s">
        <v>38</v>
      </c>
      <c r="I336" s="6" t="s">
        <v>39</v>
      </c>
    </row>
    <row r="337" ht="21.0" customHeight="1">
      <c r="A337" s="6" t="s">
        <v>940</v>
      </c>
      <c r="B337" s="8">
        <v>46293.775</v>
      </c>
      <c r="C337" s="6" t="s">
        <v>1563</v>
      </c>
      <c r="D337" s="6" t="s">
        <v>55</v>
      </c>
      <c r="E337" s="6" t="s">
        <v>21</v>
      </c>
      <c r="F337" s="6">
        <v>1.0</v>
      </c>
      <c r="G337" s="9">
        <v>19990.0</v>
      </c>
      <c r="H337" s="6" t="s">
        <v>31</v>
      </c>
      <c r="I337" s="6" t="s">
        <v>39</v>
      </c>
    </row>
    <row r="338" ht="21.0" customHeight="1">
      <c r="A338" s="6" t="s">
        <v>942</v>
      </c>
      <c r="B338" s="8">
        <v>46293.90416666667</v>
      </c>
      <c r="C338" s="6" t="s">
        <v>1568</v>
      </c>
      <c r="D338" s="6" t="s">
        <v>96</v>
      </c>
      <c r="E338" s="6" t="s">
        <v>16</v>
      </c>
      <c r="F338" s="6">
        <v>1.0</v>
      </c>
      <c r="G338" s="9">
        <v>15990.0</v>
      </c>
      <c r="H338" s="6" t="s">
        <v>38</v>
      </c>
      <c r="I338" s="6" t="s">
        <v>39</v>
      </c>
    </row>
    <row r="339" ht="21.0" customHeight="1">
      <c r="A339" s="6" t="s">
        <v>944</v>
      </c>
      <c r="B339" s="8">
        <v>46294.03333333333</v>
      </c>
      <c r="C339" s="6" t="s">
        <v>1574</v>
      </c>
      <c r="D339" s="6" t="s">
        <v>119</v>
      </c>
      <c r="E339" s="6" t="s">
        <v>14</v>
      </c>
      <c r="F339" s="6">
        <v>1.0</v>
      </c>
      <c r="G339" s="9">
        <v>24990.0</v>
      </c>
      <c r="H339" s="6" t="s">
        <v>81</v>
      </c>
      <c r="I339" s="6" t="s">
        <v>39</v>
      </c>
    </row>
    <row r="340" ht="21.0" customHeight="1">
      <c r="A340" s="6" t="s">
        <v>947</v>
      </c>
      <c r="B340" s="8">
        <v>46294.1625</v>
      </c>
      <c r="C340" s="6" t="s">
        <v>1579</v>
      </c>
      <c r="D340" s="6" t="s">
        <v>119</v>
      </c>
      <c r="E340" s="6" t="s">
        <v>14</v>
      </c>
      <c r="F340" s="6">
        <v>1.0</v>
      </c>
      <c r="G340" s="9">
        <v>24990.0</v>
      </c>
      <c r="H340" s="6" t="s">
        <v>47</v>
      </c>
      <c r="I340" s="6" t="s">
        <v>39</v>
      </c>
    </row>
    <row r="341" ht="21.0" customHeight="1">
      <c r="A341" s="6" t="s">
        <v>949</v>
      </c>
      <c r="B341" s="8">
        <v>46294.291666666664</v>
      </c>
      <c r="C341" s="6" t="s">
        <v>1587</v>
      </c>
      <c r="D341" s="6" t="s">
        <v>44</v>
      </c>
      <c r="E341" s="6" t="s">
        <v>10</v>
      </c>
      <c r="F341" s="6">
        <v>1.0</v>
      </c>
      <c r="G341" s="9">
        <v>8990.0</v>
      </c>
      <c r="H341" s="6" t="s">
        <v>121</v>
      </c>
      <c r="I341" s="6" t="s">
        <v>39</v>
      </c>
    </row>
    <row r="342" ht="21.0" customHeight="1">
      <c r="A342" s="6" t="s">
        <v>952</v>
      </c>
      <c r="B342" s="8">
        <v>46294.42083333333</v>
      </c>
      <c r="C342" s="6" t="s">
        <v>1596</v>
      </c>
      <c r="D342" s="6" t="s">
        <v>119</v>
      </c>
      <c r="E342" s="6" t="s">
        <v>14</v>
      </c>
      <c r="F342" s="6">
        <v>1.0</v>
      </c>
      <c r="G342" s="9">
        <v>24990.0</v>
      </c>
      <c r="H342" s="6" t="s">
        <v>38</v>
      </c>
      <c r="I342" s="6" t="s">
        <v>39</v>
      </c>
    </row>
    <row r="343" ht="21.0" customHeight="1">
      <c r="A343" s="6" t="s">
        <v>954</v>
      </c>
      <c r="B343" s="8">
        <v>46294.55</v>
      </c>
      <c r="C343" s="6" t="s">
        <v>1605</v>
      </c>
      <c r="D343" s="6" t="s">
        <v>44</v>
      </c>
      <c r="E343" s="6" t="s">
        <v>10</v>
      </c>
      <c r="F343" s="6">
        <v>1.0</v>
      </c>
      <c r="G343" s="9">
        <v>8990.0</v>
      </c>
      <c r="H343" s="6" t="s">
        <v>81</v>
      </c>
      <c r="I343" s="6" t="s">
        <v>39</v>
      </c>
    </row>
    <row r="344" ht="21.0" customHeight="1">
      <c r="A344" s="6" t="s">
        <v>956</v>
      </c>
      <c r="B344" s="8">
        <v>46294.67916666667</v>
      </c>
      <c r="C344" s="6" t="s">
        <v>1614</v>
      </c>
      <c r="D344" s="6" t="s">
        <v>35</v>
      </c>
      <c r="E344" s="6" t="s">
        <v>18</v>
      </c>
      <c r="F344" s="6">
        <v>1.0</v>
      </c>
      <c r="G344" s="9">
        <v>12990.0</v>
      </c>
      <c r="H344" s="6" t="s">
        <v>81</v>
      </c>
      <c r="I344" s="6" t="s">
        <v>39</v>
      </c>
    </row>
    <row r="345" ht="21.0" customHeight="1">
      <c r="A345" s="6" t="s">
        <v>959</v>
      </c>
      <c r="B345" s="8">
        <v>46294.808333333334</v>
      </c>
      <c r="C345" s="6" t="s">
        <v>1619</v>
      </c>
      <c r="D345" s="6" t="s">
        <v>35</v>
      </c>
      <c r="E345" s="6" t="s">
        <v>18</v>
      </c>
      <c r="F345" s="6">
        <v>1.0</v>
      </c>
      <c r="G345" s="9">
        <v>12990.0</v>
      </c>
      <c r="H345" s="6" t="s">
        <v>31</v>
      </c>
      <c r="I345" s="6" t="s">
        <v>39</v>
      </c>
    </row>
    <row r="346" ht="21.0" customHeight="1">
      <c r="A346" s="6" t="s">
        <v>961</v>
      </c>
      <c r="B346" s="8">
        <v>46294.9375</v>
      </c>
      <c r="C346" s="6" t="s">
        <v>1627</v>
      </c>
      <c r="D346" s="6" t="s">
        <v>55</v>
      </c>
      <c r="E346" s="6" t="s">
        <v>21</v>
      </c>
      <c r="F346" s="6">
        <v>1.0</v>
      </c>
      <c r="G346" s="9">
        <v>19990.0</v>
      </c>
      <c r="H346" s="6" t="s">
        <v>51</v>
      </c>
      <c r="I346" s="6" t="s">
        <v>39</v>
      </c>
    </row>
    <row r="347" ht="21.0" customHeight="1">
      <c r="A347" s="6" t="s">
        <v>964</v>
      </c>
      <c r="B347" s="8">
        <v>46295.066666666666</v>
      </c>
      <c r="C347" s="6" t="s">
        <v>1634</v>
      </c>
      <c r="D347" s="6" t="s">
        <v>96</v>
      </c>
      <c r="E347" s="6" t="s">
        <v>16</v>
      </c>
      <c r="F347" s="6">
        <v>1.0</v>
      </c>
      <c r="G347" s="9">
        <v>15990.0</v>
      </c>
      <c r="H347" s="6" t="s">
        <v>51</v>
      </c>
      <c r="I347" s="6" t="s">
        <v>39</v>
      </c>
    </row>
    <row r="348" ht="21.0" customHeight="1">
      <c r="A348" s="6" t="s">
        <v>969</v>
      </c>
      <c r="B348" s="8">
        <v>46295.19583333333</v>
      </c>
      <c r="C348" s="6" t="s">
        <v>1642</v>
      </c>
      <c r="D348" s="6" t="s">
        <v>44</v>
      </c>
      <c r="E348" s="6" t="s">
        <v>10</v>
      </c>
      <c r="F348" s="6">
        <v>1.0</v>
      </c>
      <c r="G348" s="9">
        <v>8990.0</v>
      </c>
      <c r="H348" s="6" t="s">
        <v>121</v>
      </c>
      <c r="I348" s="6" t="s">
        <v>39</v>
      </c>
    </row>
    <row r="349" ht="21.0" customHeight="1">
      <c r="A349" s="6" t="s">
        <v>971</v>
      </c>
      <c r="B349" s="8">
        <v>46295.325</v>
      </c>
      <c r="C349" s="6" t="s">
        <v>1649</v>
      </c>
      <c r="D349" s="6" t="s">
        <v>35</v>
      </c>
      <c r="E349" s="6" t="s">
        <v>18</v>
      </c>
      <c r="F349" s="6">
        <v>1.0</v>
      </c>
      <c r="G349" s="9">
        <v>12990.0</v>
      </c>
      <c r="H349" s="6" t="s">
        <v>47</v>
      </c>
      <c r="I349" s="6" t="s">
        <v>39</v>
      </c>
    </row>
    <row r="350" ht="21.0" customHeight="1">
      <c r="A350" s="6" t="s">
        <v>974</v>
      </c>
      <c r="B350" s="8">
        <v>46295.45416666667</v>
      </c>
      <c r="C350" s="6" t="s">
        <v>1655</v>
      </c>
      <c r="D350" s="6" t="s">
        <v>35</v>
      </c>
      <c r="E350" s="6" t="s">
        <v>18</v>
      </c>
      <c r="F350" s="6">
        <v>2.0</v>
      </c>
      <c r="G350" s="9">
        <v>25980.0</v>
      </c>
      <c r="H350" s="6" t="s">
        <v>121</v>
      </c>
      <c r="I350" s="6" t="s">
        <v>39</v>
      </c>
    </row>
    <row r="351" ht="21.0" customHeight="1">
      <c r="A351" s="6" t="s">
        <v>976</v>
      </c>
      <c r="B351" s="8">
        <v>46295.583333333336</v>
      </c>
      <c r="C351" s="6" t="s">
        <v>1663</v>
      </c>
      <c r="D351" s="6" t="s">
        <v>44</v>
      </c>
      <c r="E351" s="6" t="s">
        <v>10</v>
      </c>
      <c r="F351" s="6">
        <v>1.0</v>
      </c>
      <c r="G351" s="9">
        <v>8990.0</v>
      </c>
      <c r="H351" s="6" t="s">
        <v>38</v>
      </c>
      <c r="I351" s="6" t="s">
        <v>39</v>
      </c>
    </row>
    <row r="352" ht="21.0" customHeight="1">
      <c r="A352" s="6" t="s">
        <v>979</v>
      </c>
      <c r="B352" s="8">
        <v>46295.7125</v>
      </c>
      <c r="C352" s="6" t="s">
        <v>1673</v>
      </c>
      <c r="D352" s="6" t="s">
        <v>70</v>
      </c>
      <c r="E352" s="6" t="s">
        <v>12</v>
      </c>
      <c r="F352" s="6">
        <v>1.0</v>
      </c>
      <c r="G352" s="9">
        <v>34990.0</v>
      </c>
      <c r="H352" s="6" t="s">
        <v>81</v>
      </c>
      <c r="I352" s="6" t="s">
        <v>39</v>
      </c>
    </row>
    <row r="353" ht="21.0" customHeight="1">
      <c r="A353" s="6" t="s">
        <v>982</v>
      </c>
      <c r="B353" s="8">
        <v>46295.84166666667</v>
      </c>
      <c r="C353" s="6" t="s">
        <v>1682</v>
      </c>
      <c r="D353" s="6" t="s">
        <v>70</v>
      </c>
      <c r="E353" s="6" t="s">
        <v>12</v>
      </c>
      <c r="F353" s="6">
        <v>1.0</v>
      </c>
      <c r="G353" s="9">
        <v>34990.0</v>
      </c>
      <c r="H353" s="6" t="s">
        <v>51</v>
      </c>
      <c r="I353" s="6" t="s">
        <v>39</v>
      </c>
    </row>
    <row r="354" ht="21.0" customHeight="1">
      <c r="A354" s="6" t="s">
        <v>985</v>
      </c>
      <c r="B354" s="8">
        <v>46295.97083333333</v>
      </c>
      <c r="C354" s="6" t="s">
        <v>1689</v>
      </c>
      <c r="D354" s="6" t="s">
        <v>55</v>
      </c>
      <c r="E354" s="6" t="s">
        <v>21</v>
      </c>
      <c r="F354" s="6">
        <v>1.0</v>
      </c>
      <c r="G354" s="9">
        <v>19990.0</v>
      </c>
      <c r="H354" s="6" t="s">
        <v>31</v>
      </c>
      <c r="I354" s="6" t="s">
        <v>39</v>
      </c>
    </row>
    <row r="355" ht="21.0" customHeight="1">
      <c r="A355" s="6" t="s">
        <v>987</v>
      </c>
      <c r="B355" s="8">
        <v>46296.1</v>
      </c>
      <c r="C355" s="6" t="s">
        <v>1698</v>
      </c>
      <c r="D355" s="6" t="s">
        <v>96</v>
      </c>
      <c r="E355" s="6" t="s">
        <v>16</v>
      </c>
      <c r="F355" s="6">
        <v>1.0</v>
      </c>
      <c r="G355" s="9">
        <v>15990.0</v>
      </c>
      <c r="H355" s="6" t="s">
        <v>47</v>
      </c>
      <c r="I355" s="6" t="s">
        <v>39</v>
      </c>
    </row>
    <row r="356" ht="21.0" customHeight="1">
      <c r="A356" s="6" t="s">
        <v>990</v>
      </c>
      <c r="B356" s="8">
        <v>46296.10277777778</v>
      </c>
      <c r="C356" s="6" t="s">
        <v>1698</v>
      </c>
      <c r="D356" s="6" t="s">
        <v>96</v>
      </c>
      <c r="E356" s="6" t="s">
        <v>16</v>
      </c>
      <c r="F356" s="6">
        <v>1.0</v>
      </c>
      <c r="G356" s="9">
        <v>15990.0</v>
      </c>
      <c r="H356" s="6" t="s">
        <v>47</v>
      </c>
      <c r="I356" s="6" t="s">
        <v>39</v>
      </c>
    </row>
    <row r="357" ht="21.0" customHeight="1">
      <c r="A357" s="6" t="s">
        <v>992</v>
      </c>
      <c r="B357" s="8">
        <v>46296.35833333333</v>
      </c>
      <c r="C357" s="6" t="s">
        <v>1717</v>
      </c>
      <c r="D357" s="6" t="s">
        <v>70</v>
      </c>
      <c r="E357" s="6" t="s">
        <v>12</v>
      </c>
      <c r="F357" s="6">
        <v>1.0</v>
      </c>
      <c r="G357" s="9">
        <v>34990.0</v>
      </c>
      <c r="H357" s="6" t="s">
        <v>31</v>
      </c>
      <c r="I357" s="6" t="s">
        <v>39</v>
      </c>
    </row>
    <row r="358" ht="21.0" customHeight="1">
      <c r="A358" s="6" t="s">
        <v>995</v>
      </c>
      <c r="B358" s="8">
        <v>46296.4875</v>
      </c>
      <c r="C358" s="6" t="s">
        <v>1723</v>
      </c>
      <c r="D358" s="6" t="s">
        <v>55</v>
      </c>
      <c r="E358" s="6" t="s">
        <v>21</v>
      </c>
      <c r="F358" s="6">
        <v>2.0</v>
      </c>
      <c r="G358" s="9">
        <v>39980.0</v>
      </c>
      <c r="H358" s="6" t="s">
        <v>51</v>
      </c>
      <c r="I358" s="6" t="s">
        <v>39</v>
      </c>
    </row>
    <row r="359" ht="21.0" customHeight="1">
      <c r="A359" s="6" t="s">
        <v>997</v>
      </c>
      <c r="B359" s="8">
        <v>46296.61666666667</v>
      </c>
      <c r="C359" s="6" t="s">
        <v>1734</v>
      </c>
      <c r="D359" s="6" t="s">
        <v>44</v>
      </c>
      <c r="E359" s="6" t="s">
        <v>10</v>
      </c>
      <c r="F359" s="6">
        <v>1.0</v>
      </c>
      <c r="G359" s="9">
        <v>8990.0</v>
      </c>
      <c r="H359" s="6" t="s">
        <v>31</v>
      </c>
      <c r="I359" s="6" t="s">
        <v>39</v>
      </c>
    </row>
    <row r="360" ht="21.0" customHeight="1">
      <c r="A360" s="6" t="s">
        <v>1000</v>
      </c>
      <c r="B360" s="8">
        <v>46296.745833333334</v>
      </c>
      <c r="C360" s="6" t="s">
        <v>1746</v>
      </c>
      <c r="D360" s="6" t="s">
        <v>35</v>
      </c>
      <c r="E360" s="6" t="s">
        <v>18</v>
      </c>
      <c r="F360" s="6">
        <v>1.0</v>
      </c>
      <c r="G360" s="9">
        <v>12990.0</v>
      </c>
      <c r="H360" s="6" t="s">
        <v>47</v>
      </c>
      <c r="I360" s="6" t="s">
        <v>39</v>
      </c>
    </row>
    <row r="361" ht="21.0" customHeight="1">
      <c r="A361" s="6" t="s">
        <v>1002</v>
      </c>
      <c r="B361" s="8">
        <v>46296.875</v>
      </c>
      <c r="C361" s="6" t="s">
        <v>1755</v>
      </c>
      <c r="D361" s="6" t="s">
        <v>35</v>
      </c>
      <c r="E361" s="6" t="s">
        <v>18</v>
      </c>
      <c r="F361" s="6">
        <v>1.0</v>
      </c>
      <c r="G361" s="9">
        <v>12990.0</v>
      </c>
      <c r="H361" s="6" t="s">
        <v>121</v>
      </c>
      <c r="I361" s="6" t="s">
        <v>39</v>
      </c>
    </row>
    <row r="362" ht="21.0" customHeight="1">
      <c r="A362" s="6" t="s">
        <v>1005</v>
      </c>
      <c r="B362" s="8">
        <v>46297.004166666666</v>
      </c>
      <c r="C362" s="6" t="s">
        <v>1763</v>
      </c>
      <c r="D362" s="6" t="s">
        <v>119</v>
      </c>
      <c r="E362" s="6" t="s">
        <v>14</v>
      </c>
      <c r="F362" s="6">
        <v>1.0</v>
      </c>
      <c r="G362" s="9">
        <v>24990.0</v>
      </c>
      <c r="H362" s="6" t="s">
        <v>81</v>
      </c>
      <c r="I362" s="6" t="s">
        <v>39</v>
      </c>
    </row>
    <row r="363" ht="21.0" customHeight="1">
      <c r="A363" s="6" t="s">
        <v>1007</v>
      </c>
      <c r="B363" s="8">
        <v>46297.13333333333</v>
      </c>
      <c r="C363" s="6" t="s">
        <v>1771</v>
      </c>
      <c r="D363" s="6" t="s">
        <v>96</v>
      </c>
      <c r="E363" s="6" t="s">
        <v>16</v>
      </c>
      <c r="F363" s="6">
        <v>1.0</v>
      </c>
      <c r="G363" s="9">
        <v>15990.0</v>
      </c>
      <c r="H363" s="6" t="s">
        <v>31</v>
      </c>
      <c r="I363" s="6" t="s">
        <v>39</v>
      </c>
    </row>
    <row r="364" ht="21.0" customHeight="1">
      <c r="A364" s="6" t="s">
        <v>1010</v>
      </c>
      <c r="B364" s="8">
        <v>46297.2625</v>
      </c>
      <c r="C364" s="6" t="s">
        <v>1781</v>
      </c>
      <c r="D364" s="6" t="s">
        <v>119</v>
      </c>
      <c r="E364" s="6" t="s">
        <v>14</v>
      </c>
      <c r="F364" s="6">
        <v>3.0</v>
      </c>
      <c r="G364" s="9">
        <v>74970.0</v>
      </c>
      <c r="H364" s="6" t="s">
        <v>81</v>
      </c>
      <c r="I364" s="6" t="s">
        <v>39</v>
      </c>
    </row>
    <row r="365" ht="21.0" customHeight="1">
      <c r="A365" s="6" t="s">
        <v>1012</v>
      </c>
      <c r="B365" s="8">
        <v>46297.39166666667</v>
      </c>
      <c r="C365" s="6" t="s">
        <v>1789</v>
      </c>
      <c r="D365" s="6" t="s">
        <v>35</v>
      </c>
      <c r="E365" s="6" t="s">
        <v>18</v>
      </c>
      <c r="F365" s="6">
        <v>1.0</v>
      </c>
      <c r="G365" s="9">
        <v>12990.0</v>
      </c>
      <c r="H365" s="6" t="s">
        <v>121</v>
      </c>
      <c r="I365" s="6" t="s">
        <v>39</v>
      </c>
    </row>
    <row r="366" ht="21.0" customHeight="1">
      <c r="A366" s="6" t="s">
        <v>1015</v>
      </c>
      <c r="B366" s="8">
        <v>46297.520833333336</v>
      </c>
      <c r="C366" s="6" t="s">
        <v>1796</v>
      </c>
      <c r="D366" s="6" t="s">
        <v>55</v>
      </c>
      <c r="E366" s="6" t="s">
        <v>21</v>
      </c>
      <c r="F366" s="6">
        <v>1.0</v>
      </c>
      <c r="G366" s="9">
        <v>19990.0</v>
      </c>
      <c r="H366" s="6" t="s">
        <v>38</v>
      </c>
      <c r="I366" s="6" t="s">
        <v>39</v>
      </c>
    </row>
    <row r="367" ht="21.0" customHeight="1">
      <c r="A367" s="6" t="s">
        <v>1017</v>
      </c>
      <c r="B367" s="8">
        <v>46297.65</v>
      </c>
      <c r="C367" s="6" t="s">
        <v>1805</v>
      </c>
      <c r="D367" s="6" t="s">
        <v>35</v>
      </c>
      <c r="E367" s="6" t="s">
        <v>18</v>
      </c>
      <c r="F367" s="6">
        <v>1.0</v>
      </c>
      <c r="G367" s="9">
        <v>12990.0</v>
      </c>
      <c r="H367" s="6" t="s">
        <v>31</v>
      </c>
      <c r="I367" s="6" t="s">
        <v>39</v>
      </c>
    </row>
    <row r="368" ht="21.0" customHeight="1">
      <c r="A368" s="6" t="s">
        <v>1020</v>
      </c>
      <c r="B368" s="8">
        <v>46297.77916666667</v>
      </c>
      <c r="C368" s="6" t="s">
        <v>1812</v>
      </c>
      <c r="D368" s="6" t="s">
        <v>55</v>
      </c>
      <c r="E368" s="6" t="s">
        <v>21</v>
      </c>
      <c r="F368" s="6">
        <v>3.0</v>
      </c>
      <c r="G368" s="9">
        <v>59970.0</v>
      </c>
      <c r="H368" s="6" t="s">
        <v>47</v>
      </c>
      <c r="I368" s="6" t="s">
        <v>39</v>
      </c>
    </row>
    <row r="369" ht="21.0" customHeight="1">
      <c r="A369" s="6" t="s">
        <v>1022</v>
      </c>
      <c r="B369" s="8">
        <v>46297.90833333333</v>
      </c>
      <c r="C369" s="6" t="s">
        <v>1818</v>
      </c>
      <c r="D369" s="6" t="s">
        <v>96</v>
      </c>
      <c r="E369" s="6" t="s">
        <v>16</v>
      </c>
      <c r="F369" s="6">
        <v>1.0</v>
      </c>
      <c r="G369" s="9">
        <v>15990.0</v>
      </c>
      <c r="H369" s="6" t="s">
        <v>51</v>
      </c>
      <c r="I369" s="6" t="s">
        <v>39</v>
      </c>
    </row>
    <row r="370" ht="21.0" customHeight="1">
      <c r="A370" s="6" t="s">
        <v>1025</v>
      </c>
      <c r="B370" s="8">
        <v>46298.0375</v>
      </c>
      <c r="C370" s="6" t="s">
        <v>1823</v>
      </c>
      <c r="D370" s="6" t="s">
        <v>55</v>
      </c>
      <c r="E370" s="6" t="s">
        <v>21</v>
      </c>
      <c r="F370" s="6">
        <v>2.0</v>
      </c>
      <c r="G370" s="9">
        <v>39980.0</v>
      </c>
      <c r="H370" s="6" t="s">
        <v>121</v>
      </c>
      <c r="I370" s="6" t="s">
        <v>39</v>
      </c>
    </row>
    <row r="371" ht="21.0" customHeight="1">
      <c r="A371" s="6" t="s">
        <v>1027</v>
      </c>
      <c r="B371" s="8">
        <v>46298.166666666664</v>
      </c>
      <c r="C371" s="6" t="s">
        <v>1830</v>
      </c>
      <c r="D371" s="6" t="s">
        <v>96</v>
      </c>
      <c r="E371" s="6" t="s">
        <v>16</v>
      </c>
      <c r="F371" s="6">
        <v>1.0</v>
      </c>
      <c r="G371" s="9">
        <v>15990.0</v>
      </c>
      <c r="H371" s="6" t="s">
        <v>121</v>
      </c>
      <c r="I371" s="6" t="s">
        <v>39</v>
      </c>
    </row>
    <row r="372" ht="21.0" customHeight="1">
      <c r="A372" s="6" t="s">
        <v>1029</v>
      </c>
      <c r="B372" s="8">
        <v>46298.29583333333</v>
      </c>
      <c r="C372" s="6" t="s">
        <v>1836</v>
      </c>
      <c r="D372" s="6" t="s">
        <v>55</v>
      </c>
      <c r="E372" s="6" t="s">
        <v>21</v>
      </c>
      <c r="F372" s="6">
        <v>1.0</v>
      </c>
      <c r="G372" s="9">
        <v>19990.0</v>
      </c>
      <c r="H372" s="6" t="s">
        <v>51</v>
      </c>
      <c r="I372" s="6" t="s">
        <v>39</v>
      </c>
    </row>
    <row r="373" ht="21.0" customHeight="1">
      <c r="A373" s="6" t="s">
        <v>1031</v>
      </c>
      <c r="B373" s="8">
        <v>46298.425</v>
      </c>
      <c r="C373" s="6" t="s">
        <v>1844</v>
      </c>
      <c r="D373" s="6" t="s">
        <v>35</v>
      </c>
      <c r="E373" s="6" t="s">
        <v>18</v>
      </c>
      <c r="F373" s="6">
        <v>1.0</v>
      </c>
      <c r="G373" s="9">
        <v>12990.0</v>
      </c>
      <c r="H373" s="6" t="s">
        <v>47</v>
      </c>
      <c r="I373" s="6" t="s">
        <v>39</v>
      </c>
    </row>
    <row r="374" ht="21.0" customHeight="1">
      <c r="A374" s="6" t="s">
        <v>1034</v>
      </c>
      <c r="B374" s="8">
        <v>46298.55416666667</v>
      </c>
      <c r="C374" s="6" t="s">
        <v>1851</v>
      </c>
      <c r="D374" s="6" t="s">
        <v>119</v>
      </c>
      <c r="E374" s="6" t="s">
        <v>14</v>
      </c>
      <c r="F374" s="6">
        <v>1.0</v>
      </c>
      <c r="G374" s="9">
        <v>24990.0</v>
      </c>
      <c r="H374" s="6" t="s">
        <v>31</v>
      </c>
      <c r="I374" s="6" t="s">
        <v>39</v>
      </c>
    </row>
    <row r="375" ht="21.0" customHeight="1">
      <c r="A375" s="6" t="s">
        <v>1037</v>
      </c>
      <c r="B375" s="8">
        <v>46298.683333333334</v>
      </c>
      <c r="C375" s="6" t="s">
        <v>1857</v>
      </c>
      <c r="D375" s="6" t="s">
        <v>44</v>
      </c>
      <c r="E375" s="6" t="s">
        <v>10</v>
      </c>
      <c r="F375" s="6">
        <v>2.0</v>
      </c>
      <c r="G375" s="9">
        <v>17980.0</v>
      </c>
      <c r="H375" s="6" t="s">
        <v>81</v>
      </c>
      <c r="I375" s="6" t="s">
        <v>39</v>
      </c>
    </row>
    <row r="376" ht="21.0" customHeight="1">
      <c r="A376" s="6" t="s">
        <v>1039</v>
      </c>
      <c r="B376" s="8">
        <v>46298.8125</v>
      </c>
      <c r="C376" s="6" t="s">
        <v>1865</v>
      </c>
      <c r="D376" s="6" t="s">
        <v>35</v>
      </c>
      <c r="E376" s="6" t="s">
        <v>18</v>
      </c>
      <c r="F376" s="6">
        <v>1.0</v>
      </c>
      <c r="G376" s="9">
        <v>12990.0</v>
      </c>
      <c r="H376" s="6" t="s">
        <v>81</v>
      </c>
      <c r="I376" s="6" t="s">
        <v>39</v>
      </c>
    </row>
    <row r="377" ht="21.0" customHeight="1">
      <c r="A377" s="6" t="s">
        <v>1042</v>
      </c>
      <c r="B377" s="8">
        <v>46298.941666666666</v>
      </c>
      <c r="C377" s="6" t="s">
        <v>1873</v>
      </c>
      <c r="D377" s="6" t="s">
        <v>119</v>
      </c>
      <c r="E377" s="6" t="s">
        <v>14</v>
      </c>
      <c r="F377" s="6">
        <v>1.0</v>
      </c>
      <c r="G377" s="9">
        <v>24990.0</v>
      </c>
      <c r="H377" s="6" t="s">
        <v>51</v>
      </c>
      <c r="I377" s="6" t="s">
        <v>39</v>
      </c>
    </row>
    <row r="378" ht="21.0" customHeight="1">
      <c r="A378" s="6" t="s">
        <v>1044</v>
      </c>
      <c r="B378" s="8">
        <v>46299.07083333333</v>
      </c>
      <c r="C378" s="6" t="s">
        <v>1879</v>
      </c>
      <c r="D378" s="6" t="s">
        <v>119</v>
      </c>
      <c r="E378" s="6" t="s">
        <v>14</v>
      </c>
      <c r="F378" s="6">
        <v>1.0</v>
      </c>
      <c r="G378" s="9">
        <v>24990.0</v>
      </c>
      <c r="H378" s="6" t="s">
        <v>38</v>
      </c>
      <c r="I378" s="6" t="s">
        <v>39</v>
      </c>
    </row>
    <row r="379" ht="21.0" customHeight="1">
      <c r="A379" s="6" t="s">
        <v>1047</v>
      </c>
      <c r="B379" s="8">
        <v>46299.2</v>
      </c>
      <c r="C379" s="6" t="s">
        <v>1886</v>
      </c>
      <c r="D379" s="6" t="s">
        <v>55</v>
      </c>
      <c r="E379" s="6" t="s">
        <v>21</v>
      </c>
      <c r="F379" s="6">
        <v>1.0</v>
      </c>
      <c r="G379" s="9">
        <v>19990.0</v>
      </c>
      <c r="H379" s="6" t="s">
        <v>31</v>
      </c>
      <c r="I379" s="6" t="s">
        <v>39</v>
      </c>
    </row>
    <row r="380" ht="21.0" customHeight="1">
      <c r="A380" s="6" t="s">
        <v>1049</v>
      </c>
      <c r="B380" s="8">
        <v>46299.32916666667</v>
      </c>
      <c r="C380" s="6" t="s">
        <v>1892</v>
      </c>
      <c r="D380" s="6" t="s">
        <v>70</v>
      </c>
      <c r="E380" s="6" t="s">
        <v>12</v>
      </c>
      <c r="F380" s="6">
        <v>1.0</v>
      </c>
      <c r="G380" s="9">
        <v>34990.0</v>
      </c>
      <c r="H380" s="6" t="s">
        <v>81</v>
      </c>
      <c r="I380" s="6" t="s">
        <v>39</v>
      </c>
    </row>
    <row r="381" ht="21.0" customHeight="1">
      <c r="A381" s="6" t="s">
        <v>1051</v>
      </c>
      <c r="B381" s="8">
        <v>46299.458333333336</v>
      </c>
      <c r="C381" s="6" t="s">
        <v>1915</v>
      </c>
      <c r="D381" s="6" t="s">
        <v>44</v>
      </c>
      <c r="E381" s="6" t="s">
        <v>10</v>
      </c>
      <c r="F381" s="6">
        <v>1.0</v>
      </c>
      <c r="G381" s="9">
        <v>8990.0</v>
      </c>
      <c r="H381" s="6" t="s">
        <v>81</v>
      </c>
      <c r="I381" s="6" t="s">
        <v>39</v>
      </c>
    </row>
    <row r="382" ht="21.0" customHeight="1">
      <c r="A382" s="6" t="s">
        <v>1054</v>
      </c>
      <c r="B382" s="8">
        <v>46299.5875</v>
      </c>
      <c r="C382" s="6" t="s">
        <v>1922</v>
      </c>
      <c r="D382" s="6" t="s">
        <v>35</v>
      </c>
      <c r="E382" s="6" t="s">
        <v>18</v>
      </c>
      <c r="F382" s="6">
        <v>1.0</v>
      </c>
      <c r="G382" s="9">
        <v>12990.0</v>
      </c>
      <c r="H382" s="6" t="s">
        <v>81</v>
      </c>
      <c r="I382" s="6" t="s">
        <v>39</v>
      </c>
    </row>
    <row r="383" ht="21.0" customHeight="1">
      <c r="A383" s="6" t="s">
        <v>1056</v>
      </c>
      <c r="B383" s="8">
        <v>46299.71666666667</v>
      </c>
      <c r="C383" s="6" t="s">
        <v>1929</v>
      </c>
      <c r="D383" s="6" t="s">
        <v>55</v>
      </c>
      <c r="E383" s="6" t="s">
        <v>21</v>
      </c>
      <c r="F383" s="6">
        <v>1.0</v>
      </c>
      <c r="G383" s="9">
        <v>19990.0</v>
      </c>
      <c r="H383" s="6" t="s">
        <v>51</v>
      </c>
      <c r="I383" s="6" t="s">
        <v>39</v>
      </c>
    </row>
    <row r="384" ht="21.0" customHeight="1">
      <c r="A384" s="6" t="s">
        <v>1059</v>
      </c>
      <c r="B384" s="8">
        <v>46299.84583333333</v>
      </c>
      <c r="C384" s="6" t="s">
        <v>1937</v>
      </c>
      <c r="D384" s="6" t="s">
        <v>55</v>
      </c>
      <c r="E384" s="6" t="s">
        <v>21</v>
      </c>
      <c r="F384" s="6">
        <v>1.0</v>
      </c>
      <c r="G384" s="9">
        <v>19990.0</v>
      </c>
      <c r="H384" s="6" t="s">
        <v>47</v>
      </c>
      <c r="I384" s="6" t="s">
        <v>39</v>
      </c>
    </row>
    <row r="385" ht="21.0" customHeight="1">
      <c r="A385" s="6" t="s">
        <v>1061</v>
      </c>
      <c r="B385" s="8">
        <v>46299.975</v>
      </c>
      <c r="C385" s="6" t="s">
        <v>1946</v>
      </c>
      <c r="D385" s="6" t="s">
        <v>55</v>
      </c>
      <c r="E385" s="6" t="s">
        <v>21</v>
      </c>
      <c r="F385" s="6">
        <v>1.0</v>
      </c>
      <c r="G385" s="9">
        <v>19990.0</v>
      </c>
      <c r="H385" s="6" t="s">
        <v>51</v>
      </c>
      <c r="I385" s="6" t="s">
        <v>39</v>
      </c>
    </row>
    <row r="386" ht="21.0" customHeight="1">
      <c r="A386" s="6" t="s">
        <v>1063</v>
      </c>
      <c r="B386" s="8">
        <v>46300.104166666664</v>
      </c>
      <c r="C386" s="6" t="s">
        <v>1954</v>
      </c>
      <c r="D386" s="6" t="s">
        <v>70</v>
      </c>
      <c r="E386" s="6" t="s">
        <v>12</v>
      </c>
      <c r="F386" s="6">
        <v>1.0</v>
      </c>
      <c r="G386" s="9">
        <v>34990.0</v>
      </c>
      <c r="H386" s="6" t="s">
        <v>38</v>
      </c>
      <c r="I386" s="6" t="s">
        <v>39</v>
      </c>
    </row>
    <row r="387" ht="21.0" customHeight="1">
      <c r="A387" s="6" t="s">
        <v>1066</v>
      </c>
      <c r="B387" s="8">
        <v>46300.23333333333</v>
      </c>
      <c r="C387" s="6" t="s">
        <v>1961</v>
      </c>
      <c r="D387" s="6" t="s">
        <v>119</v>
      </c>
      <c r="E387" s="6" t="s">
        <v>14</v>
      </c>
      <c r="F387" s="6">
        <v>1.0</v>
      </c>
      <c r="G387" s="9">
        <v>24990.0</v>
      </c>
      <c r="H387" s="6" t="s">
        <v>31</v>
      </c>
      <c r="I387" s="6" t="s">
        <v>39</v>
      </c>
    </row>
    <row r="388" ht="21.0" customHeight="1">
      <c r="A388" s="6" t="s">
        <v>1068</v>
      </c>
      <c r="B388" s="8">
        <v>46300.3625</v>
      </c>
      <c r="C388" s="6" t="s">
        <v>1969</v>
      </c>
      <c r="D388" s="6" t="s">
        <v>70</v>
      </c>
      <c r="E388" s="6" t="s">
        <v>12</v>
      </c>
      <c r="F388" s="6">
        <v>1.0</v>
      </c>
      <c r="G388" s="9">
        <v>34990.0</v>
      </c>
      <c r="H388" s="6" t="s">
        <v>121</v>
      </c>
      <c r="I388" s="6" t="s">
        <v>39</v>
      </c>
    </row>
    <row r="389" ht="21.0" customHeight="1">
      <c r="A389" s="6" t="s">
        <v>1071</v>
      </c>
      <c r="B389" s="8">
        <v>46300.49166666667</v>
      </c>
      <c r="C389" s="6" t="s">
        <v>1977</v>
      </c>
      <c r="D389" s="6" t="s">
        <v>44</v>
      </c>
      <c r="E389" s="6" t="s">
        <v>10</v>
      </c>
      <c r="F389" s="6">
        <v>2.0</v>
      </c>
      <c r="G389" s="9">
        <v>17980.0</v>
      </c>
      <c r="H389" s="6" t="s">
        <v>121</v>
      </c>
      <c r="I389" s="6" t="s">
        <v>39</v>
      </c>
    </row>
    <row r="390" ht="21.0" customHeight="1">
      <c r="A390" s="6" t="s">
        <v>1073</v>
      </c>
      <c r="B390" s="8">
        <v>46300.620833333334</v>
      </c>
      <c r="C390" s="6" t="s">
        <v>1986</v>
      </c>
      <c r="D390" s="6" t="s">
        <v>70</v>
      </c>
      <c r="E390" s="6" t="s">
        <v>12</v>
      </c>
      <c r="F390" s="6">
        <v>1.0</v>
      </c>
      <c r="G390" s="9">
        <v>34990.0</v>
      </c>
      <c r="H390" s="6" t="s">
        <v>81</v>
      </c>
      <c r="I390" s="6" t="s">
        <v>39</v>
      </c>
    </row>
    <row r="391" ht="21.0" customHeight="1">
      <c r="A391" s="6" t="s">
        <v>1075</v>
      </c>
      <c r="B391" s="8">
        <v>46300.75</v>
      </c>
      <c r="C391" s="6" t="s">
        <v>1993</v>
      </c>
      <c r="D391" s="6" t="s">
        <v>96</v>
      </c>
      <c r="E391" s="6" t="s">
        <v>16</v>
      </c>
      <c r="F391" s="6">
        <v>1.0</v>
      </c>
      <c r="G391" s="9">
        <v>15990.0</v>
      </c>
      <c r="H391" s="6" t="s">
        <v>51</v>
      </c>
      <c r="I391" s="6" t="s">
        <v>39</v>
      </c>
    </row>
    <row r="392" ht="21.0" customHeight="1">
      <c r="A392" s="6" t="s">
        <v>1078</v>
      </c>
      <c r="B392" s="8">
        <v>46300.879166666666</v>
      </c>
      <c r="C392" s="6" t="s">
        <v>1999</v>
      </c>
      <c r="D392" s="6" t="s">
        <v>119</v>
      </c>
      <c r="E392" s="6" t="s">
        <v>14</v>
      </c>
      <c r="F392" s="6">
        <v>1.0</v>
      </c>
      <c r="G392" s="9">
        <v>24990.0</v>
      </c>
      <c r="H392" s="6" t="s">
        <v>121</v>
      </c>
      <c r="I392" s="6" t="s">
        <v>39</v>
      </c>
    </row>
    <row r="393" ht="21.0" customHeight="1">
      <c r="A393" s="6" t="s">
        <v>1080</v>
      </c>
      <c r="B393" s="8">
        <v>46301.00833333333</v>
      </c>
      <c r="C393" s="6" t="s">
        <v>2007</v>
      </c>
      <c r="D393" s="6" t="s">
        <v>96</v>
      </c>
      <c r="E393" s="6" t="s">
        <v>16</v>
      </c>
      <c r="F393" s="6">
        <v>2.0</v>
      </c>
      <c r="G393" s="9">
        <v>31980.0</v>
      </c>
      <c r="H393" s="6" t="s">
        <v>47</v>
      </c>
      <c r="I393" s="6" t="s">
        <v>39</v>
      </c>
    </row>
    <row r="394" ht="21.0" customHeight="1">
      <c r="A394" s="6" t="s">
        <v>1083</v>
      </c>
      <c r="B394" s="8">
        <v>46301.1375</v>
      </c>
      <c r="C394" s="6" t="s">
        <v>2013</v>
      </c>
      <c r="D394" s="6" t="s">
        <v>55</v>
      </c>
      <c r="E394" s="6" t="s">
        <v>21</v>
      </c>
      <c r="F394" s="6">
        <v>2.0</v>
      </c>
      <c r="G394" s="9">
        <v>39980.0</v>
      </c>
      <c r="H394" s="6" t="s">
        <v>51</v>
      </c>
      <c r="I394" s="6" t="s">
        <v>39</v>
      </c>
    </row>
    <row r="395" ht="21.0" customHeight="1">
      <c r="A395" s="6" t="s">
        <v>1085</v>
      </c>
      <c r="B395" s="8">
        <v>46301.26666666667</v>
      </c>
      <c r="C395" s="6" t="s">
        <v>2021</v>
      </c>
      <c r="D395" s="6" t="s">
        <v>35</v>
      </c>
      <c r="E395" s="6" t="s">
        <v>18</v>
      </c>
      <c r="F395" s="6">
        <v>2.0</v>
      </c>
      <c r="G395" s="9">
        <v>25980.0</v>
      </c>
      <c r="H395" s="6" t="s">
        <v>47</v>
      </c>
      <c r="I395" s="6" t="s">
        <v>39</v>
      </c>
    </row>
    <row r="396" ht="21.0" customHeight="1">
      <c r="A396" s="6" t="s">
        <v>1087</v>
      </c>
      <c r="B396" s="8">
        <v>46301.395833333336</v>
      </c>
      <c r="C396" s="6" t="s">
        <v>2028</v>
      </c>
      <c r="D396" s="6" t="s">
        <v>96</v>
      </c>
      <c r="E396" s="6" t="s">
        <v>16</v>
      </c>
      <c r="F396" s="6">
        <v>1.0</v>
      </c>
      <c r="G396" s="9">
        <v>15990.0</v>
      </c>
      <c r="H396" s="6" t="s">
        <v>31</v>
      </c>
      <c r="I396" s="6" t="s">
        <v>39</v>
      </c>
    </row>
    <row r="397" ht="21.0" customHeight="1">
      <c r="A397" s="6" t="s">
        <v>1090</v>
      </c>
      <c r="B397" s="8">
        <v>46301.525</v>
      </c>
      <c r="C397" s="6" t="s">
        <v>2036</v>
      </c>
      <c r="D397" s="6" t="s">
        <v>96</v>
      </c>
      <c r="E397" s="6" t="s">
        <v>16</v>
      </c>
      <c r="F397" s="6">
        <v>2.0</v>
      </c>
      <c r="G397" s="9">
        <v>31980.0</v>
      </c>
      <c r="H397" s="6" t="s">
        <v>81</v>
      </c>
      <c r="I397" s="6" t="s">
        <v>39</v>
      </c>
    </row>
    <row r="398" ht="21.0" customHeight="1">
      <c r="A398" s="6" t="s">
        <v>1092</v>
      </c>
      <c r="B398" s="8">
        <v>46301.65416666667</v>
      </c>
      <c r="C398" s="6" t="s">
        <v>2042</v>
      </c>
      <c r="D398" s="6" t="s">
        <v>70</v>
      </c>
      <c r="E398" s="6" t="s">
        <v>12</v>
      </c>
      <c r="F398" s="6">
        <v>1.0</v>
      </c>
      <c r="G398" s="9">
        <v>34990.0</v>
      </c>
      <c r="H398" s="6" t="s">
        <v>47</v>
      </c>
      <c r="I398" s="6" t="s">
        <v>39</v>
      </c>
    </row>
    <row r="399" ht="21.0" customHeight="1">
      <c r="A399" s="6" t="s">
        <v>1095</v>
      </c>
      <c r="B399" s="8">
        <v>46301.65694444445</v>
      </c>
      <c r="C399" s="6" t="s">
        <v>2042</v>
      </c>
      <c r="D399" s="6" t="s">
        <v>70</v>
      </c>
      <c r="E399" s="6" t="s">
        <v>12</v>
      </c>
      <c r="F399" s="6">
        <v>1.0</v>
      </c>
      <c r="G399" s="9">
        <v>34990.0</v>
      </c>
      <c r="H399" s="6" t="s">
        <v>47</v>
      </c>
      <c r="I399" s="6" t="s">
        <v>39</v>
      </c>
    </row>
    <row r="400" ht="21.0" customHeight="1">
      <c r="A400" s="6" t="s">
        <v>1097</v>
      </c>
      <c r="B400" s="8">
        <v>46301.9125</v>
      </c>
      <c r="C400" s="6" t="s">
        <v>2052</v>
      </c>
      <c r="D400" s="6" t="s">
        <v>35</v>
      </c>
      <c r="E400" s="6" t="s">
        <v>18</v>
      </c>
      <c r="F400" s="6">
        <v>1.0</v>
      </c>
      <c r="G400" s="9">
        <v>12990.0</v>
      </c>
      <c r="H400" s="6" t="s">
        <v>38</v>
      </c>
      <c r="I400" s="6" t="s">
        <v>39</v>
      </c>
    </row>
    <row r="401" ht="21.0" customHeight="1">
      <c r="A401" s="6" t="s">
        <v>1100</v>
      </c>
      <c r="B401" s="8">
        <v>46302.041666666664</v>
      </c>
      <c r="C401" s="6" t="s">
        <v>2057</v>
      </c>
      <c r="D401" s="6" t="s">
        <v>70</v>
      </c>
      <c r="E401" s="6" t="s">
        <v>12</v>
      </c>
      <c r="F401" s="6">
        <v>1.0</v>
      </c>
      <c r="G401" s="9">
        <v>34990.0</v>
      </c>
      <c r="H401" s="6" t="s">
        <v>31</v>
      </c>
      <c r="I401" s="6" t="s">
        <v>39</v>
      </c>
    </row>
    <row r="402" ht="21.0" customHeight="1">
      <c r="A402" s="6" t="s">
        <v>1102</v>
      </c>
      <c r="B402" s="8">
        <v>46302.17083333333</v>
      </c>
      <c r="C402" s="6" t="s">
        <v>2063</v>
      </c>
      <c r="D402" s="6" t="s">
        <v>35</v>
      </c>
      <c r="E402" s="6" t="s">
        <v>18</v>
      </c>
      <c r="F402" s="6">
        <v>1.0</v>
      </c>
      <c r="G402" s="9">
        <v>12990.0</v>
      </c>
      <c r="H402" s="6" t="s">
        <v>47</v>
      </c>
      <c r="I402" s="6" t="s">
        <v>39</v>
      </c>
    </row>
    <row r="403" ht="21.0" customHeight="1">
      <c r="A403" s="6" t="s">
        <v>1105</v>
      </c>
      <c r="B403" s="8">
        <v>46302.3</v>
      </c>
      <c r="C403" s="6" t="s">
        <v>2069</v>
      </c>
      <c r="D403" s="6" t="s">
        <v>44</v>
      </c>
      <c r="E403" s="6" t="s">
        <v>10</v>
      </c>
      <c r="F403" s="6">
        <v>1.0</v>
      </c>
      <c r="G403" s="9">
        <v>8990.0</v>
      </c>
      <c r="H403" s="6" t="s">
        <v>47</v>
      </c>
      <c r="I403" s="6" t="s">
        <v>39</v>
      </c>
    </row>
    <row r="404" ht="21.0" customHeight="1">
      <c r="A404" s="6" t="s">
        <v>1107</v>
      </c>
      <c r="B404" s="8">
        <v>46302.42916666667</v>
      </c>
      <c r="C404" s="6" t="s">
        <v>2074</v>
      </c>
      <c r="D404" s="6" t="s">
        <v>55</v>
      </c>
      <c r="E404" s="6" t="s">
        <v>21</v>
      </c>
      <c r="F404" s="6">
        <v>1.0</v>
      </c>
      <c r="G404" s="9">
        <v>19990.0</v>
      </c>
      <c r="H404" s="6" t="s">
        <v>51</v>
      </c>
      <c r="I404" s="6" t="s">
        <v>39</v>
      </c>
    </row>
    <row r="405" ht="21.0" customHeight="1">
      <c r="A405" s="6" t="s">
        <v>1110</v>
      </c>
      <c r="B405" s="8">
        <v>46302.558333333334</v>
      </c>
      <c r="C405" s="6" t="s">
        <v>2080</v>
      </c>
      <c r="D405" s="6" t="s">
        <v>70</v>
      </c>
      <c r="E405" s="6" t="s">
        <v>12</v>
      </c>
      <c r="F405" s="6">
        <v>1.0</v>
      </c>
      <c r="G405" s="9">
        <v>34990.0</v>
      </c>
      <c r="H405" s="6" t="s">
        <v>38</v>
      </c>
      <c r="I405" s="6" t="s">
        <v>39</v>
      </c>
    </row>
    <row r="406" ht="21.0" customHeight="1">
      <c r="A406" s="6" t="s">
        <v>1112</v>
      </c>
      <c r="B406" s="8">
        <v>46302.6875</v>
      </c>
      <c r="C406" s="6" t="s">
        <v>2086</v>
      </c>
      <c r="D406" s="6" t="s">
        <v>119</v>
      </c>
      <c r="E406" s="6" t="s">
        <v>14</v>
      </c>
      <c r="F406" s="6">
        <v>1.0</v>
      </c>
      <c r="G406" s="9">
        <v>24990.0</v>
      </c>
      <c r="H406" s="6" t="s">
        <v>121</v>
      </c>
      <c r="I406" s="6" t="s">
        <v>39</v>
      </c>
    </row>
    <row r="407" ht="21.0" customHeight="1">
      <c r="A407" s="6" t="s">
        <v>1115</v>
      </c>
      <c r="B407" s="8">
        <v>46302.816666666666</v>
      </c>
      <c r="C407" s="6" t="s">
        <v>2091</v>
      </c>
      <c r="D407" s="6" t="s">
        <v>119</v>
      </c>
      <c r="E407" s="6" t="s">
        <v>14</v>
      </c>
      <c r="F407" s="6">
        <v>1.0</v>
      </c>
      <c r="G407" s="9">
        <v>24990.0</v>
      </c>
      <c r="H407" s="6" t="s">
        <v>121</v>
      </c>
      <c r="I407" s="6" t="s">
        <v>39</v>
      </c>
    </row>
    <row r="408" ht="21.0" customHeight="1">
      <c r="A408" s="6" t="s">
        <v>1117</v>
      </c>
      <c r="B408" s="8">
        <v>46302.94583333333</v>
      </c>
      <c r="C408" s="6" t="s">
        <v>2097</v>
      </c>
      <c r="D408" s="6" t="s">
        <v>35</v>
      </c>
      <c r="E408" s="6" t="s">
        <v>18</v>
      </c>
      <c r="F408" s="6">
        <v>1.0</v>
      </c>
      <c r="G408" s="9">
        <v>12990.0</v>
      </c>
      <c r="H408" s="6" t="s">
        <v>51</v>
      </c>
      <c r="I408" s="6" t="s">
        <v>39</v>
      </c>
    </row>
    <row r="409" ht="21.0" customHeight="1">
      <c r="A409" s="6" t="s">
        <v>1120</v>
      </c>
      <c r="B409" s="8">
        <v>46303.075</v>
      </c>
      <c r="C409" s="6" t="s">
        <v>2104</v>
      </c>
      <c r="D409" s="6" t="s">
        <v>96</v>
      </c>
      <c r="E409" s="6" t="s">
        <v>16</v>
      </c>
      <c r="F409" s="6">
        <v>1.0</v>
      </c>
      <c r="G409" s="9">
        <v>15990.0</v>
      </c>
      <c r="H409" s="6" t="s">
        <v>81</v>
      </c>
      <c r="I409" s="6" t="s">
        <v>39</v>
      </c>
    </row>
    <row r="410" ht="21.0" customHeight="1">
      <c r="A410" s="6" t="s">
        <v>1122</v>
      </c>
      <c r="B410" s="8">
        <v>46303.20416666667</v>
      </c>
      <c r="C410" s="6" t="s">
        <v>2110</v>
      </c>
      <c r="D410" s="6" t="s">
        <v>70</v>
      </c>
      <c r="E410" s="6" t="s">
        <v>12</v>
      </c>
      <c r="F410" s="6">
        <v>1.0</v>
      </c>
      <c r="G410" s="9">
        <v>34990.0</v>
      </c>
      <c r="H410" s="6" t="s">
        <v>121</v>
      </c>
      <c r="I410" s="6" t="s">
        <v>39</v>
      </c>
    </row>
    <row r="411" ht="21.0" customHeight="1">
      <c r="A411" s="6" t="s">
        <v>1125</v>
      </c>
      <c r="B411" s="8">
        <v>46303.333333333336</v>
      </c>
      <c r="C411" s="6" t="s">
        <v>2116</v>
      </c>
      <c r="D411" s="6" t="s">
        <v>35</v>
      </c>
      <c r="E411" s="6" t="s">
        <v>18</v>
      </c>
      <c r="F411" s="6">
        <v>2.0</v>
      </c>
      <c r="G411" s="9">
        <v>25980.0</v>
      </c>
      <c r="H411" s="6" t="s">
        <v>31</v>
      </c>
      <c r="I411" s="6" t="s">
        <v>39</v>
      </c>
    </row>
    <row r="412" ht="21.0" customHeight="1">
      <c r="A412" s="6" t="s">
        <v>1127</v>
      </c>
      <c r="B412" s="8">
        <v>46303.4625</v>
      </c>
      <c r="C412" s="6" t="s">
        <v>2124</v>
      </c>
      <c r="D412" s="6" t="s">
        <v>70</v>
      </c>
      <c r="E412" s="6" t="s">
        <v>12</v>
      </c>
      <c r="F412" s="6">
        <v>1.0</v>
      </c>
      <c r="G412" s="9">
        <v>34990.0</v>
      </c>
      <c r="H412" s="6" t="s">
        <v>38</v>
      </c>
      <c r="I412" s="6" t="s">
        <v>39</v>
      </c>
    </row>
    <row r="413" ht="21.0" customHeight="1">
      <c r="A413" s="6" t="s">
        <v>1129</v>
      </c>
      <c r="B413" s="8">
        <v>46303.59166666667</v>
      </c>
      <c r="C413" s="6" t="s">
        <v>2131</v>
      </c>
      <c r="D413" s="6" t="s">
        <v>35</v>
      </c>
      <c r="E413" s="6" t="s">
        <v>18</v>
      </c>
      <c r="F413" s="6">
        <v>1.0</v>
      </c>
      <c r="G413" s="9">
        <v>12990.0</v>
      </c>
      <c r="H413" s="6" t="s">
        <v>121</v>
      </c>
      <c r="I413" s="6" t="s">
        <v>39</v>
      </c>
    </row>
    <row r="414" ht="21.0" customHeight="1">
      <c r="A414" s="6" t="s">
        <v>1132</v>
      </c>
      <c r="B414" s="8">
        <v>46303.72083333333</v>
      </c>
      <c r="C414" s="6" t="s">
        <v>2138</v>
      </c>
      <c r="D414" s="6" t="s">
        <v>44</v>
      </c>
      <c r="E414" s="6" t="s">
        <v>10</v>
      </c>
      <c r="F414" s="6">
        <v>1.0</v>
      </c>
      <c r="G414" s="9">
        <v>8990.0</v>
      </c>
      <c r="H414" s="6" t="s">
        <v>51</v>
      </c>
      <c r="I414" s="6" t="s">
        <v>39</v>
      </c>
    </row>
    <row r="415" ht="21.0" customHeight="1">
      <c r="A415" s="6" t="s">
        <v>1134</v>
      </c>
      <c r="B415" s="8">
        <v>46303.85</v>
      </c>
      <c r="C415" s="6" t="s">
        <v>2144</v>
      </c>
      <c r="D415" s="6" t="s">
        <v>55</v>
      </c>
      <c r="E415" s="6" t="s">
        <v>21</v>
      </c>
      <c r="F415" s="6">
        <v>1.0</v>
      </c>
      <c r="G415" s="9">
        <v>19990.0</v>
      </c>
      <c r="H415" s="6" t="s">
        <v>47</v>
      </c>
      <c r="I415" s="6" t="s">
        <v>39</v>
      </c>
    </row>
    <row r="416" ht="21.0" customHeight="1">
      <c r="A416" s="6" t="s">
        <v>1137</v>
      </c>
      <c r="B416" s="8">
        <v>46303.979166666664</v>
      </c>
      <c r="C416" s="6" t="s">
        <v>2150</v>
      </c>
      <c r="D416" s="6" t="s">
        <v>119</v>
      </c>
      <c r="E416" s="6" t="s">
        <v>14</v>
      </c>
      <c r="F416" s="6">
        <v>1.0</v>
      </c>
      <c r="G416" s="9">
        <v>24990.0</v>
      </c>
      <c r="H416" s="6" t="s">
        <v>51</v>
      </c>
      <c r="I416" s="6" t="s">
        <v>39</v>
      </c>
    </row>
    <row r="417" ht="21.0" customHeight="1">
      <c r="A417" s="6" t="s">
        <v>1139</v>
      </c>
      <c r="B417" s="8">
        <v>46304.10833333333</v>
      </c>
      <c r="C417" s="6" t="s">
        <v>2156</v>
      </c>
      <c r="D417" s="6" t="s">
        <v>96</v>
      </c>
      <c r="E417" s="6" t="s">
        <v>16</v>
      </c>
      <c r="F417" s="6">
        <v>1.0</v>
      </c>
      <c r="G417" s="9">
        <v>15990.0</v>
      </c>
      <c r="H417" s="6" t="s">
        <v>31</v>
      </c>
      <c r="I417" s="6" t="s">
        <v>39</v>
      </c>
    </row>
    <row r="418" ht="21.0" customHeight="1">
      <c r="A418" s="6" t="s">
        <v>1142</v>
      </c>
      <c r="B418" s="8">
        <v>46304.2375</v>
      </c>
      <c r="C418" s="6" t="s">
        <v>2161</v>
      </c>
      <c r="D418" s="6" t="s">
        <v>35</v>
      </c>
      <c r="E418" s="6" t="s">
        <v>18</v>
      </c>
      <c r="F418" s="6">
        <v>3.0</v>
      </c>
      <c r="G418" s="9">
        <v>38970.0</v>
      </c>
      <c r="H418" s="6" t="s">
        <v>81</v>
      </c>
      <c r="I418" s="6" t="s">
        <v>39</v>
      </c>
    </row>
    <row r="419" ht="21.0" customHeight="1">
      <c r="A419" s="6" t="s">
        <v>1144</v>
      </c>
      <c r="B419" s="8">
        <v>46304.36666666667</v>
      </c>
      <c r="C419" s="6" t="s">
        <v>2167</v>
      </c>
      <c r="D419" s="6" t="s">
        <v>35</v>
      </c>
      <c r="E419" s="6" t="s">
        <v>18</v>
      </c>
      <c r="F419" s="6">
        <v>1.0</v>
      </c>
      <c r="G419" s="9">
        <v>12990.0</v>
      </c>
      <c r="H419" s="6" t="s">
        <v>81</v>
      </c>
      <c r="I419" s="6" t="s">
        <v>39</v>
      </c>
    </row>
    <row r="420" ht="21.0" customHeight="1">
      <c r="A420" s="6" t="s">
        <v>1146</v>
      </c>
      <c r="B420" s="8">
        <v>46304.495833333334</v>
      </c>
      <c r="C420" s="6" t="s">
        <v>2172</v>
      </c>
      <c r="D420" s="6" t="s">
        <v>96</v>
      </c>
      <c r="E420" s="6" t="s">
        <v>16</v>
      </c>
      <c r="F420" s="6">
        <v>1.0</v>
      </c>
      <c r="G420" s="9">
        <v>15990.0</v>
      </c>
      <c r="H420" s="6" t="s">
        <v>47</v>
      </c>
      <c r="I420" s="6" t="s">
        <v>39</v>
      </c>
    </row>
    <row r="421" ht="21.0" customHeight="1">
      <c r="A421" s="6" t="s">
        <v>1149</v>
      </c>
      <c r="B421" s="8">
        <v>46304.625</v>
      </c>
      <c r="C421" s="6" t="s">
        <v>2176</v>
      </c>
      <c r="D421" s="6" t="s">
        <v>55</v>
      </c>
      <c r="E421" s="6" t="s">
        <v>21</v>
      </c>
      <c r="F421" s="6">
        <v>1.0</v>
      </c>
      <c r="G421" s="9">
        <v>19990.0</v>
      </c>
      <c r="H421" s="6" t="s">
        <v>31</v>
      </c>
      <c r="I421" s="6" t="s">
        <v>39</v>
      </c>
    </row>
    <row r="422" ht="21.0" customHeight="1">
      <c r="A422" s="6" t="s">
        <v>1151</v>
      </c>
      <c r="B422" s="8">
        <v>46304.754166666666</v>
      </c>
      <c r="C422" s="6" t="s">
        <v>2179</v>
      </c>
      <c r="D422" s="6" t="s">
        <v>35</v>
      </c>
      <c r="E422" s="6" t="s">
        <v>18</v>
      </c>
      <c r="F422" s="6">
        <v>1.0</v>
      </c>
      <c r="G422" s="9">
        <v>12990.0</v>
      </c>
      <c r="H422" s="6" t="s">
        <v>121</v>
      </c>
      <c r="I422" s="6" t="s">
        <v>39</v>
      </c>
    </row>
    <row r="423" ht="21.0" customHeight="1">
      <c r="A423" s="6" t="s">
        <v>1154</v>
      </c>
      <c r="B423" s="8">
        <v>46304.756944444445</v>
      </c>
      <c r="C423" s="6" t="s">
        <v>2179</v>
      </c>
      <c r="D423" s="6" t="s">
        <v>35</v>
      </c>
      <c r="E423" s="6" t="s">
        <v>18</v>
      </c>
      <c r="F423" s="6">
        <v>1.0</v>
      </c>
      <c r="G423" s="9">
        <v>12990.0</v>
      </c>
      <c r="H423" s="6" t="s">
        <v>121</v>
      </c>
      <c r="I423" s="6" t="s">
        <v>39</v>
      </c>
    </row>
    <row r="424" ht="21.0" customHeight="1">
      <c r="A424" s="6" t="s">
        <v>1156</v>
      </c>
      <c r="B424" s="8">
        <v>46305.0125</v>
      </c>
      <c r="C424" s="6" t="s">
        <v>2183</v>
      </c>
      <c r="D424" s="6" t="s">
        <v>35</v>
      </c>
      <c r="E424" s="6" t="s">
        <v>18</v>
      </c>
      <c r="F424" s="6">
        <v>1.0</v>
      </c>
      <c r="G424" s="9">
        <v>12990.0</v>
      </c>
      <c r="H424" s="6" t="s">
        <v>121</v>
      </c>
      <c r="I424" s="6" t="s">
        <v>39</v>
      </c>
    </row>
    <row r="425" ht="21.0" customHeight="1">
      <c r="A425" s="6" t="s">
        <v>1158</v>
      </c>
      <c r="B425" s="8">
        <v>46305.14166666667</v>
      </c>
      <c r="C425" s="6" t="s">
        <v>2185</v>
      </c>
      <c r="D425" s="6" t="s">
        <v>35</v>
      </c>
      <c r="E425" s="6" t="s">
        <v>18</v>
      </c>
      <c r="F425" s="6">
        <v>1.0</v>
      </c>
      <c r="G425" s="9">
        <v>12990.0</v>
      </c>
      <c r="H425" s="6" t="s">
        <v>51</v>
      </c>
      <c r="I425" s="6" t="s">
        <v>39</v>
      </c>
    </row>
    <row r="426" ht="21.0" customHeight="1">
      <c r="A426" s="6" t="s">
        <v>1161</v>
      </c>
      <c r="B426" s="8">
        <v>46305.270833333336</v>
      </c>
      <c r="C426" s="6" t="s">
        <v>2191</v>
      </c>
      <c r="D426" s="6" t="s">
        <v>70</v>
      </c>
      <c r="E426" s="6" t="s">
        <v>12</v>
      </c>
      <c r="F426" s="6">
        <v>1.0</v>
      </c>
      <c r="G426" s="9">
        <v>34990.0</v>
      </c>
      <c r="H426" s="6" t="s">
        <v>47</v>
      </c>
      <c r="I426" s="6" t="s">
        <v>39</v>
      </c>
    </row>
    <row r="427" ht="21.0" customHeight="1">
      <c r="A427" s="6" t="s">
        <v>1163</v>
      </c>
      <c r="B427" s="8">
        <v>46305.4</v>
      </c>
      <c r="C427" s="6" t="s">
        <v>2193</v>
      </c>
      <c r="D427" s="6" t="s">
        <v>55</v>
      </c>
      <c r="E427" s="6" t="s">
        <v>21</v>
      </c>
      <c r="F427" s="6">
        <v>1.0</v>
      </c>
      <c r="G427" s="9">
        <v>19990.0</v>
      </c>
      <c r="H427" s="6" t="s">
        <v>47</v>
      </c>
      <c r="I427" s="6" t="s">
        <v>39</v>
      </c>
    </row>
    <row r="428" ht="21.0" customHeight="1">
      <c r="A428" s="6" t="s">
        <v>1166</v>
      </c>
      <c r="B428" s="8">
        <v>46305.52916666667</v>
      </c>
      <c r="C428" s="6" t="s">
        <v>2195</v>
      </c>
      <c r="D428" s="6" t="s">
        <v>96</v>
      </c>
      <c r="E428" s="6" t="s">
        <v>16</v>
      </c>
      <c r="F428" s="6">
        <v>1.0</v>
      </c>
      <c r="G428" s="9">
        <v>15990.0</v>
      </c>
      <c r="H428" s="6" t="s">
        <v>81</v>
      </c>
      <c r="I428" s="6" t="s">
        <v>39</v>
      </c>
    </row>
    <row r="429" ht="21.0" customHeight="1">
      <c r="A429" s="6" t="s">
        <v>1168</v>
      </c>
      <c r="B429" s="8">
        <v>46305.65833333333</v>
      </c>
      <c r="C429" s="6" t="s">
        <v>2198</v>
      </c>
      <c r="D429" s="6" t="s">
        <v>119</v>
      </c>
      <c r="E429" s="6" t="s">
        <v>14</v>
      </c>
      <c r="F429" s="6">
        <v>2.0</v>
      </c>
      <c r="G429" s="9">
        <v>49980.0</v>
      </c>
      <c r="H429" s="6" t="s">
        <v>51</v>
      </c>
      <c r="I429" s="6" t="s">
        <v>39</v>
      </c>
    </row>
    <row r="430" ht="21.0" customHeight="1">
      <c r="A430" s="6" t="s">
        <v>1170</v>
      </c>
      <c r="B430" s="8">
        <v>46305.7875</v>
      </c>
      <c r="C430" s="6" t="s">
        <v>2201</v>
      </c>
      <c r="D430" s="6" t="s">
        <v>44</v>
      </c>
      <c r="E430" s="6" t="s">
        <v>10</v>
      </c>
      <c r="F430" s="6">
        <v>1.0</v>
      </c>
      <c r="G430" s="9">
        <v>8990.0</v>
      </c>
      <c r="H430" s="6" t="s">
        <v>47</v>
      </c>
      <c r="I430" s="6" t="s">
        <v>39</v>
      </c>
    </row>
    <row r="431" ht="21.0" customHeight="1">
      <c r="A431" s="6" t="s">
        <v>1172</v>
      </c>
      <c r="B431" s="8">
        <v>46305.916666666664</v>
      </c>
      <c r="C431" s="6" t="s">
        <v>2204</v>
      </c>
      <c r="D431" s="6" t="s">
        <v>96</v>
      </c>
      <c r="E431" s="6" t="s">
        <v>16</v>
      </c>
      <c r="F431" s="6">
        <v>1.0</v>
      </c>
      <c r="G431" s="9">
        <v>15990.0</v>
      </c>
      <c r="H431" s="6" t="s">
        <v>31</v>
      </c>
      <c r="I431" s="6" t="s">
        <v>39</v>
      </c>
    </row>
    <row r="432" ht="21.0" customHeight="1">
      <c r="A432" s="6" t="s">
        <v>1175</v>
      </c>
      <c r="B432" s="8">
        <v>46306.04583333333</v>
      </c>
      <c r="C432" s="6" t="s">
        <v>2207</v>
      </c>
      <c r="D432" s="6" t="s">
        <v>119</v>
      </c>
      <c r="E432" s="6" t="s">
        <v>14</v>
      </c>
      <c r="F432" s="6">
        <v>3.0</v>
      </c>
      <c r="G432" s="9">
        <v>74970.0</v>
      </c>
      <c r="H432" s="6" t="s">
        <v>51</v>
      </c>
      <c r="I432" s="6" t="s">
        <v>39</v>
      </c>
    </row>
    <row r="433" ht="21.0" customHeight="1">
      <c r="A433" s="6" t="s">
        <v>1177</v>
      </c>
      <c r="B433" s="8">
        <v>46306.175</v>
      </c>
      <c r="C433" s="6" t="s">
        <v>2209</v>
      </c>
      <c r="D433" s="6" t="s">
        <v>55</v>
      </c>
      <c r="E433" s="6" t="s">
        <v>21</v>
      </c>
      <c r="F433" s="6">
        <v>2.0</v>
      </c>
      <c r="G433" s="9">
        <v>39980.0</v>
      </c>
      <c r="H433" s="6" t="s">
        <v>121</v>
      </c>
      <c r="I433" s="6" t="s">
        <v>39</v>
      </c>
    </row>
    <row r="434" ht="21.0" customHeight="1">
      <c r="A434" s="6" t="s">
        <v>1179</v>
      </c>
      <c r="B434" s="8">
        <v>46306.30416666667</v>
      </c>
      <c r="C434" s="6" t="s">
        <v>2212</v>
      </c>
      <c r="D434" s="6" t="s">
        <v>119</v>
      </c>
      <c r="E434" s="6" t="s">
        <v>14</v>
      </c>
      <c r="F434" s="6">
        <v>2.0</v>
      </c>
      <c r="G434" s="9">
        <v>49980.0</v>
      </c>
      <c r="H434" s="6" t="s">
        <v>81</v>
      </c>
      <c r="I434" s="6" t="s">
        <v>39</v>
      </c>
    </row>
    <row r="435" ht="21.0" customHeight="1">
      <c r="A435" s="6" t="s">
        <v>1182</v>
      </c>
      <c r="B435" s="8">
        <v>46306.433333333334</v>
      </c>
      <c r="C435" s="6" t="s">
        <v>2215</v>
      </c>
      <c r="D435" s="6" t="s">
        <v>70</v>
      </c>
      <c r="E435" s="6" t="s">
        <v>12</v>
      </c>
      <c r="F435" s="6">
        <v>2.0</v>
      </c>
      <c r="G435" s="9">
        <v>69980.0</v>
      </c>
      <c r="H435" s="6" t="s">
        <v>38</v>
      </c>
      <c r="I435" s="6" t="s">
        <v>39</v>
      </c>
    </row>
    <row r="436" ht="21.0" customHeight="1">
      <c r="A436" s="6" t="s">
        <v>1184</v>
      </c>
      <c r="B436" s="8">
        <v>46306.5625</v>
      </c>
      <c r="C436" s="6" t="s">
        <v>2218</v>
      </c>
      <c r="D436" s="6" t="s">
        <v>96</v>
      </c>
      <c r="E436" s="6" t="s">
        <v>16</v>
      </c>
      <c r="F436" s="6">
        <v>1.0</v>
      </c>
      <c r="G436" s="9">
        <v>15990.0</v>
      </c>
      <c r="H436" s="6" t="s">
        <v>38</v>
      </c>
      <c r="I436" s="6" t="s">
        <v>39</v>
      </c>
    </row>
    <row r="437" ht="21.0" customHeight="1">
      <c r="A437" s="6" t="s">
        <v>1187</v>
      </c>
      <c r="B437" s="8">
        <v>46306.691666666666</v>
      </c>
      <c r="C437" s="6" t="s">
        <v>2221</v>
      </c>
      <c r="D437" s="6" t="s">
        <v>44</v>
      </c>
      <c r="E437" s="6" t="s">
        <v>10</v>
      </c>
      <c r="F437" s="6">
        <v>2.0</v>
      </c>
      <c r="G437" s="9">
        <v>17980.0</v>
      </c>
      <c r="H437" s="6" t="s">
        <v>81</v>
      </c>
      <c r="I437" s="6" t="s">
        <v>39</v>
      </c>
    </row>
    <row r="438" ht="21.0" customHeight="1">
      <c r="A438" s="6" t="s">
        <v>1190</v>
      </c>
      <c r="B438" s="8">
        <v>46306.82083333333</v>
      </c>
      <c r="C438" s="6" t="s">
        <v>2224</v>
      </c>
      <c r="D438" s="6" t="s">
        <v>44</v>
      </c>
      <c r="E438" s="6" t="s">
        <v>10</v>
      </c>
      <c r="F438" s="6">
        <v>2.0</v>
      </c>
      <c r="G438" s="9">
        <v>17980.0</v>
      </c>
      <c r="H438" s="6" t="s">
        <v>47</v>
      </c>
      <c r="I438" s="6" t="s">
        <v>39</v>
      </c>
    </row>
    <row r="439" ht="21.0" customHeight="1">
      <c r="A439" s="6" t="s">
        <v>1192</v>
      </c>
      <c r="B439" s="8">
        <v>46306.95</v>
      </c>
      <c r="C439" s="6" t="s">
        <v>2226</v>
      </c>
      <c r="D439" s="6" t="s">
        <v>44</v>
      </c>
      <c r="E439" s="6" t="s">
        <v>10</v>
      </c>
      <c r="F439" s="6">
        <v>1.0</v>
      </c>
      <c r="G439" s="9">
        <v>8990.0</v>
      </c>
      <c r="H439" s="6" t="s">
        <v>121</v>
      </c>
      <c r="I439" s="6" t="s">
        <v>39</v>
      </c>
    </row>
    <row r="440" ht="21.0" customHeight="1">
      <c r="A440" s="6" t="s">
        <v>1195</v>
      </c>
      <c r="B440" s="8">
        <v>46307.07916666667</v>
      </c>
      <c r="C440" s="6" t="s">
        <v>2229</v>
      </c>
      <c r="D440" s="6" t="s">
        <v>119</v>
      </c>
      <c r="E440" s="6" t="s">
        <v>14</v>
      </c>
      <c r="F440" s="6">
        <v>1.0</v>
      </c>
      <c r="G440" s="9">
        <v>24990.0</v>
      </c>
      <c r="H440" s="6" t="s">
        <v>38</v>
      </c>
      <c r="I440" s="6" t="s">
        <v>39</v>
      </c>
    </row>
    <row r="441" ht="21.0" customHeight="1">
      <c r="A441" s="6" t="s">
        <v>1197</v>
      </c>
      <c r="B441" s="8">
        <v>46307.208333333336</v>
      </c>
      <c r="C441" s="6" t="s">
        <v>2232</v>
      </c>
      <c r="D441" s="6" t="s">
        <v>119</v>
      </c>
      <c r="E441" s="6" t="s">
        <v>14</v>
      </c>
      <c r="F441" s="6">
        <v>1.0</v>
      </c>
      <c r="G441" s="9">
        <v>24990.0</v>
      </c>
      <c r="H441" s="6" t="s">
        <v>38</v>
      </c>
      <c r="I441" s="6" t="s">
        <v>39</v>
      </c>
    </row>
    <row r="442" ht="21.0" customHeight="1">
      <c r="A442" s="6" t="s">
        <v>1200</v>
      </c>
      <c r="B442" s="8">
        <v>46307.3375</v>
      </c>
      <c r="C442" s="6" t="s">
        <v>2235</v>
      </c>
      <c r="D442" s="6" t="s">
        <v>44</v>
      </c>
      <c r="E442" s="6" t="s">
        <v>10</v>
      </c>
      <c r="F442" s="6">
        <v>1.0</v>
      </c>
      <c r="G442" s="9">
        <v>8990.0</v>
      </c>
      <c r="H442" s="6" t="s">
        <v>47</v>
      </c>
      <c r="I442" s="6" t="s">
        <v>39</v>
      </c>
    </row>
    <row r="443" ht="21.0" customHeight="1">
      <c r="A443" s="6" t="s">
        <v>1202</v>
      </c>
      <c r="B443" s="8">
        <v>46307.46666666667</v>
      </c>
      <c r="C443" s="6" t="s">
        <v>2238</v>
      </c>
      <c r="D443" s="6" t="s">
        <v>96</v>
      </c>
      <c r="E443" s="6" t="s">
        <v>16</v>
      </c>
      <c r="F443" s="6">
        <v>1.0</v>
      </c>
      <c r="G443" s="9">
        <v>15990.0</v>
      </c>
      <c r="H443" s="6" t="s">
        <v>51</v>
      </c>
      <c r="I443" s="6" t="s">
        <v>39</v>
      </c>
    </row>
    <row r="444" ht="21.0" customHeight="1">
      <c r="A444" s="6" t="s">
        <v>1204</v>
      </c>
      <c r="B444" s="8">
        <v>46307.59583333333</v>
      </c>
      <c r="C444" s="6" t="s">
        <v>2240</v>
      </c>
      <c r="D444" s="6" t="s">
        <v>35</v>
      </c>
      <c r="E444" s="6" t="s">
        <v>18</v>
      </c>
      <c r="F444" s="6">
        <v>2.0</v>
      </c>
      <c r="G444" s="9">
        <v>25980.0</v>
      </c>
      <c r="H444" s="6" t="s">
        <v>38</v>
      </c>
      <c r="I444" s="6" t="s">
        <v>39</v>
      </c>
    </row>
    <row r="445" ht="21.0" customHeight="1">
      <c r="A445" s="6" t="s">
        <v>1207</v>
      </c>
      <c r="B445" s="8">
        <v>46307.725</v>
      </c>
      <c r="C445" s="6" t="s">
        <v>2243</v>
      </c>
      <c r="D445" s="6" t="s">
        <v>70</v>
      </c>
      <c r="E445" s="6" t="s">
        <v>12</v>
      </c>
      <c r="F445" s="6">
        <v>1.0</v>
      </c>
      <c r="G445" s="9">
        <v>34990.0</v>
      </c>
      <c r="H445" s="6" t="s">
        <v>38</v>
      </c>
      <c r="I445" s="6" t="s">
        <v>39</v>
      </c>
    </row>
    <row r="446" ht="21.0" customHeight="1">
      <c r="A446" s="6" t="s">
        <v>1209</v>
      </c>
      <c r="B446" s="8">
        <v>46307.854166666664</v>
      </c>
      <c r="C446" s="6" t="s">
        <v>2246</v>
      </c>
      <c r="D446" s="6" t="s">
        <v>44</v>
      </c>
      <c r="E446" s="6" t="s">
        <v>10</v>
      </c>
      <c r="F446" s="6">
        <v>1.0</v>
      </c>
      <c r="G446" s="9">
        <v>8990.0</v>
      </c>
      <c r="H446" s="6" t="s">
        <v>31</v>
      </c>
      <c r="I446" s="6" t="s">
        <v>39</v>
      </c>
    </row>
    <row r="447" ht="21.0" customHeight="1">
      <c r="A447" s="6" t="s">
        <v>1212</v>
      </c>
      <c r="B447" s="8">
        <v>46307.98333333333</v>
      </c>
      <c r="C447" s="6" t="s">
        <v>2249</v>
      </c>
      <c r="D447" s="6" t="s">
        <v>44</v>
      </c>
      <c r="E447" s="6" t="s">
        <v>10</v>
      </c>
      <c r="F447" s="6">
        <v>1.0</v>
      </c>
      <c r="G447" s="9">
        <v>8990.0</v>
      </c>
      <c r="H447" s="6" t="s">
        <v>51</v>
      </c>
      <c r="I447" s="6" t="s">
        <v>39</v>
      </c>
    </row>
    <row r="448" ht="21.0" customHeight="1">
      <c r="A448" s="6" t="s">
        <v>1214</v>
      </c>
      <c r="B448" s="8">
        <v>46308.1125</v>
      </c>
      <c r="C448" s="6" t="s">
        <v>2252</v>
      </c>
      <c r="D448" s="6" t="s">
        <v>96</v>
      </c>
      <c r="E448" s="6" t="s">
        <v>16</v>
      </c>
      <c r="F448" s="6">
        <v>1.0</v>
      </c>
      <c r="G448" s="9">
        <v>15990.0</v>
      </c>
      <c r="H448" s="6" t="s">
        <v>51</v>
      </c>
      <c r="I448" s="6" t="s">
        <v>39</v>
      </c>
    </row>
    <row r="449" ht="21.0" customHeight="1">
      <c r="A449" s="6" t="s">
        <v>1217</v>
      </c>
      <c r="B449" s="8">
        <v>46308.24166666667</v>
      </c>
      <c r="C449" s="6" t="s">
        <v>2254</v>
      </c>
      <c r="D449" s="6" t="s">
        <v>44</v>
      </c>
      <c r="E449" s="6" t="s">
        <v>10</v>
      </c>
      <c r="F449" s="6">
        <v>1.0</v>
      </c>
      <c r="G449" s="9">
        <v>8990.0</v>
      </c>
      <c r="H449" s="6" t="s">
        <v>121</v>
      </c>
      <c r="I449" s="6" t="s">
        <v>39</v>
      </c>
    </row>
    <row r="450" ht="21.0" customHeight="1">
      <c r="A450" s="6" t="s">
        <v>1219</v>
      </c>
      <c r="B450" s="8">
        <v>46308.370833333334</v>
      </c>
      <c r="C450" s="6" t="s">
        <v>2256</v>
      </c>
      <c r="D450" s="6" t="s">
        <v>35</v>
      </c>
      <c r="E450" s="6" t="s">
        <v>18</v>
      </c>
      <c r="F450" s="6">
        <v>1.0</v>
      </c>
      <c r="G450" s="9">
        <v>12990.0</v>
      </c>
      <c r="H450" s="6" t="s">
        <v>47</v>
      </c>
      <c r="I450" s="6" t="s">
        <v>39</v>
      </c>
    </row>
    <row r="451" ht="21.0" customHeight="1">
      <c r="A451" s="6" t="s">
        <v>1221</v>
      </c>
      <c r="B451" s="8">
        <v>46308.5</v>
      </c>
      <c r="C451" s="6" t="s">
        <v>2258</v>
      </c>
      <c r="D451" s="6" t="s">
        <v>44</v>
      </c>
      <c r="E451" s="6" t="s">
        <v>10</v>
      </c>
      <c r="F451" s="6">
        <v>1.0</v>
      </c>
      <c r="G451" s="9">
        <v>8990.0</v>
      </c>
      <c r="H451" s="6" t="s">
        <v>38</v>
      </c>
      <c r="I451" s="6" t="s">
        <v>39</v>
      </c>
    </row>
    <row r="452" ht="21.0" customHeight="1">
      <c r="A452" s="6" t="s">
        <v>1224</v>
      </c>
      <c r="B452" s="8">
        <v>46308.629166666666</v>
      </c>
      <c r="C452" s="6" t="s">
        <v>2261</v>
      </c>
      <c r="D452" s="6" t="s">
        <v>44</v>
      </c>
      <c r="E452" s="6" t="s">
        <v>10</v>
      </c>
      <c r="F452" s="6">
        <v>1.0</v>
      </c>
      <c r="G452" s="9">
        <v>8990.0</v>
      </c>
      <c r="H452" s="6" t="s">
        <v>38</v>
      </c>
      <c r="I452" s="6" t="s">
        <v>39</v>
      </c>
    </row>
    <row r="453" ht="21.0" customHeight="1">
      <c r="A453" s="6" t="s">
        <v>1226</v>
      </c>
      <c r="B453" s="8">
        <v>46308.75833333333</v>
      </c>
      <c r="C453" s="6" t="s">
        <v>2263</v>
      </c>
      <c r="D453" s="6" t="s">
        <v>70</v>
      </c>
      <c r="E453" s="6" t="s">
        <v>12</v>
      </c>
      <c r="F453" s="6">
        <v>1.0</v>
      </c>
      <c r="G453" s="9">
        <v>34990.0</v>
      </c>
      <c r="H453" s="6" t="s">
        <v>47</v>
      </c>
      <c r="I453" s="6" t="s">
        <v>39</v>
      </c>
    </row>
    <row r="454" ht="21.0" customHeight="1">
      <c r="A454" s="6" t="s">
        <v>1229</v>
      </c>
      <c r="B454" s="8">
        <v>46308.8875</v>
      </c>
      <c r="C454" s="6" t="s">
        <v>2265</v>
      </c>
      <c r="D454" s="6" t="s">
        <v>55</v>
      </c>
      <c r="E454" s="6" t="s">
        <v>21</v>
      </c>
      <c r="F454" s="6">
        <v>1.0</v>
      </c>
      <c r="G454" s="9">
        <v>19990.0</v>
      </c>
      <c r="H454" s="6" t="s">
        <v>31</v>
      </c>
      <c r="I454" s="6" t="s">
        <v>39</v>
      </c>
    </row>
    <row r="455" ht="21.0" customHeight="1">
      <c r="A455" s="6" t="s">
        <v>1231</v>
      </c>
      <c r="B455" s="8">
        <v>46309.01666666667</v>
      </c>
      <c r="C455" s="6" t="s">
        <v>2267</v>
      </c>
      <c r="D455" s="6" t="s">
        <v>55</v>
      </c>
      <c r="E455" s="6" t="s">
        <v>21</v>
      </c>
      <c r="F455" s="6">
        <v>2.0</v>
      </c>
      <c r="G455" s="9">
        <v>39980.0</v>
      </c>
      <c r="H455" s="6" t="s">
        <v>47</v>
      </c>
      <c r="I455" s="6" t="s">
        <v>39</v>
      </c>
    </row>
    <row r="456" ht="21.0" customHeight="1">
      <c r="A456" s="6" t="s">
        <v>1234</v>
      </c>
      <c r="B456" s="8">
        <v>46309.145833333336</v>
      </c>
      <c r="C456" s="6" t="s">
        <v>2270</v>
      </c>
      <c r="D456" s="6" t="s">
        <v>96</v>
      </c>
      <c r="E456" s="6" t="s">
        <v>16</v>
      </c>
      <c r="F456" s="6">
        <v>1.0</v>
      </c>
      <c r="G456" s="9">
        <v>15990.0</v>
      </c>
      <c r="H456" s="6" t="s">
        <v>51</v>
      </c>
      <c r="I456" s="6" t="s">
        <v>39</v>
      </c>
    </row>
    <row r="457" ht="21.0" customHeight="1">
      <c r="A457" s="6" t="s">
        <v>1236</v>
      </c>
      <c r="B457" s="8">
        <v>46309.275</v>
      </c>
      <c r="C457" s="6" t="s">
        <v>2272</v>
      </c>
      <c r="D457" s="6" t="s">
        <v>70</v>
      </c>
      <c r="E457" s="6" t="s">
        <v>12</v>
      </c>
      <c r="F457" s="6">
        <v>1.0</v>
      </c>
      <c r="G457" s="9">
        <v>34990.0</v>
      </c>
      <c r="H457" s="6" t="s">
        <v>51</v>
      </c>
      <c r="I457" s="6" t="s">
        <v>39</v>
      </c>
    </row>
    <row r="458" ht="21.0" customHeight="1">
      <c r="A458" s="6" t="s">
        <v>1239</v>
      </c>
      <c r="B458" s="8">
        <v>46309.27777777778</v>
      </c>
      <c r="C458" s="6" t="s">
        <v>2272</v>
      </c>
      <c r="D458" s="6" t="s">
        <v>70</v>
      </c>
      <c r="E458" s="6" t="s">
        <v>12</v>
      </c>
      <c r="F458" s="6">
        <v>1.0</v>
      </c>
      <c r="G458" s="9">
        <v>34990.0</v>
      </c>
      <c r="H458" s="6" t="s">
        <v>51</v>
      </c>
      <c r="I458" s="6" t="s">
        <v>39</v>
      </c>
    </row>
    <row r="459" ht="21.0" customHeight="1">
      <c r="A459" s="6" t="s">
        <v>1241</v>
      </c>
      <c r="B459" s="8">
        <v>46309.53333333333</v>
      </c>
      <c r="C459" s="6" t="s">
        <v>2275</v>
      </c>
      <c r="D459" s="6" t="s">
        <v>70</v>
      </c>
      <c r="E459" s="6" t="s">
        <v>12</v>
      </c>
      <c r="F459" s="6">
        <v>1.0</v>
      </c>
      <c r="G459" s="9">
        <v>34990.0</v>
      </c>
      <c r="H459" s="6" t="s">
        <v>31</v>
      </c>
      <c r="I459" s="6" t="s">
        <v>39</v>
      </c>
    </row>
    <row r="460" ht="21.0" customHeight="1">
      <c r="A460" s="6" t="s">
        <v>1244</v>
      </c>
      <c r="B460" s="8">
        <v>46309.6625</v>
      </c>
      <c r="C460" s="6" t="s">
        <v>2278</v>
      </c>
      <c r="D460" s="6" t="s">
        <v>35</v>
      </c>
      <c r="E460" s="6" t="s">
        <v>18</v>
      </c>
      <c r="F460" s="6">
        <v>2.0</v>
      </c>
      <c r="G460" s="9">
        <v>25980.0</v>
      </c>
      <c r="H460" s="6" t="s">
        <v>121</v>
      </c>
      <c r="I460" s="6" t="s">
        <v>39</v>
      </c>
    </row>
    <row r="461" ht="21.0" customHeight="1">
      <c r="A461" s="6" t="s">
        <v>1246</v>
      </c>
      <c r="B461" s="8">
        <v>46309.791666666664</v>
      </c>
      <c r="C461" s="6" t="s">
        <v>2280</v>
      </c>
      <c r="D461" s="6" t="s">
        <v>44</v>
      </c>
      <c r="E461" s="6" t="s">
        <v>10</v>
      </c>
      <c r="F461" s="6">
        <v>2.0</v>
      </c>
      <c r="G461" s="9">
        <v>17980.0</v>
      </c>
      <c r="H461" s="6" t="s">
        <v>38</v>
      </c>
      <c r="I461" s="6" t="s">
        <v>39</v>
      </c>
    </row>
    <row r="462" ht="21.0" customHeight="1">
      <c r="A462" s="6" t="s">
        <v>1248</v>
      </c>
      <c r="B462" s="8">
        <v>46309.92083333333</v>
      </c>
      <c r="C462" s="6" t="s">
        <v>2282</v>
      </c>
      <c r="D462" s="6" t="s">
        <v>96</v>
      </c>
      <c r="E462" s="6" t="s">
        <v>16</v>
      </c>
      <c r="F462" s="6">
        <v>1.0</v>
      </c>
      <c r="G462" s="9">
        <v>15990.0</v>
      </c>
      <c r="H462" s="6" t="s">
        <v>31</v>
      </c>
      <c r="I462" s="6" t="s">
        <v>39</v>
      </c>
    </row>
    <row r="463" ht="21.0" customHeight="1">
      <c r="A463" s="6" t="s">
        <v>1251</v>
      </c>
      <c r="B463" s="8">
        <v>46310.05</v>
      </c>
      <c r="C463" s="6" t="s">
        <v>2285</v>
      </c>
      <c r="D463" s="6" t="s">
        <v>55</v>
      </c>
      <c r="E463" s="6" t="s">
        <v>21</v>
      </c>
      <c r="F463" s="6">
        <v>1.0</v>
      </c>
      <c r="G463" s="9">
        <v>19990.0</v>
      </c>
      <c r="H463" s="6" t="s">
        <v>31</v>
      </c>
      <c r="I463" s="6" t="s">
        <v>39</v>
      </c>
    </row>
    <row r="464" ht="21.0" customHeight="1">
      <c r="A464" s="6" t="s">
        <v>1253</v>
      </c>
      <c r="B464" s="8">
        <v>46310.17916666667</v>
      </c>
      <c r="C464" s="6" t="s">
        <v>2287</v>
      </c>
      <c r="D464" s="6" t="s">
        <v>44</v>
      </c>
      <c r="E464" s="6" t="s">
        <v>10</v>
      </c>
      <c r="F464" s="6">
        <v>3.0</v>
      </c>
      <c r="G464" s="9">
        <v>26970.0</v>
      </c>
      <c r="H464" s="6" t="s">
        <v>81</v>
      </c>
      <c r="I464" s="6" t="s">
        <v>39</v>
      </c>
    </row>
    <row r="465" ht="21.0" customHeight="1">
      <c r="A465" s="6" t="s">
        <v>1256</v>
      </c>
      <c r="B465" s="8">
        <v>46310.308333333334</v>
      </c>
      <c r="C465" s="6" t="s">
        <v>2290</v>
      </c>
      <c r="D465" s="6" t="s">
        <v>96</v>
      </c>
      <c r="E465" s="6" t="s">
        <v>16</v>
      </c>
      <c r="F465" s="6">
        <v>1.0</v>
      </c>
      <c r="G465" s="9">
        <v>15990.0</v>
      </c>
      <c r="H465" s="6" t="s">
        <v>81</v>
      </c>
      <c r="I465" s="6" t="s">
        <v>39</v>
      </c>
    </row>
    <row r="466" ht="21.0" customHeight="1">
      <c r="A466" s="6" t="s">
        <v>1258</v>
      </c>
      <c r="B466" s="8">
        <v>46310.4375</v>
      </c>
      <c r="C466" s="6" t="s">
        <v>2293</v>
      </c>
      <c r="D466" s="6" t="s">
        <v>44</v>
      </c>
      <c r="E466" s="6" t="s">
        <v>10</v>
      </c>
      <c r="F466" s="6">
        <v>2.0</v>
      </c>
      <c r="G466" s="9">
        <v>17980.0</v>
      </c>
      <c r="H466" s="6" t="s">
        <v>81</v>
      </c>
      <c r="I466" s="6" t="s">
        <v>39</v>
      </c>
    </row>
    <row r="467" ht="21.0" customHeight="1">
      <c r="A467" s="6" t="s">
        <v>1261</v>
      </c>
      <c r="B467" s="8">
        <v>46310.566666666666</v>
      </c>
      <c r="C467" s="6" t="s">
        <v>2296</v>
      </c>
      <c r="D467" s="6" t="s">
        <v>35</v>
      </c>
      <c r="E467" s="6" t="s">
        <v>18</v>
      </c>
      <c r="F467" s="6">
        <v>1.0</v>
      </c>
      <c r="G467" s="9">
        <v>12990.0</v>
      </c>
      <c r="H467" s="6" t="s">
        <v>51</v>
      </c>
      <c r="I467" s="6" t="s">
        <v>39</v>
      </c>
    </row>
    <row r="468" ht="21.0" customHeight="1">
      <c r="A468" s="6" t="s">
        <v>1263</v>
      </c>
      <c r="B468" s="8">
        <v>46310.69583333333</v>
      </c>
      <c r="C468" s="6" t="s">
        <v>2299</v>
      </c>
      <c r="D468" s="6" t="s">
        <v>44</v>
      </c>
      <c r="E468" s="6" t="s">
        <v>10</v>
      </c>
      <c r="F468" s="6">
        <v>1.0</v>
      </c>
      <c r="G468" s="9">
        <v>8990.0</v>
      </c>
      <c r="H468" s="6" t="s">
        <v>38</v>
      </c>
      <c r="I468" s="6" t="s">
        <v>39</v>
      </c>
    </row>
    <row r="469" ht="21.0" customHeight="1">
      <c r="A469" s="6" t="s">
        <v>1265</v>
      </c>
      <c r="B469" s="8">
        <v>46310.825</v>
      </c>
      <c r="C469" s="6" t="s">
        <v>2302</v>
      </c>
      <c r="D469" s="6" t="s">
        <v>96</v>
      </c>
      <c r="E469" s="6" t="s">
        <v>16</v>
      </c>
      <c r="F469" s="6">
        <v>2.0</v>
      </c>
      <c r="G469" s="9">
        <v>31980.0</v>
      </c>
      <c r="H469" s="6" t="s">
        <v>81</v>
      </c>
      <c r="I469" s="6" t="s">
        <v>39</v>
      </c>
    </row>
    <row r="470" ht="21.0" customHeight="1">
      <c r="A470" s="6" t="s">
        <v>1268</v>
      </c>
      <c r="B470" s="8">
        <v>46310.95416666667</v>
      </c>
      <c r="C470" s="6" t="s">
        <v>2306</v>
      </c>
      <c r="D470" s="6" t="s">
        <v>70</v>
      </c>
      <c r="E470" s="6" t="s">
        <v>12</v>
      </c>
      <c r="F470" s="6">
        <v>1.0</v>
      </c>
      <c r="G470" s="9">
        <v>34990.0</v>
      </c>
      <c r="H470" s="6" t="s">
        <v>38</v>
      </c>
      <c r="I470" s="6" t="s">
        <v>39</v>
      </c>
    </row>
    <row r="471" ht="21.0" customHeight="1">
      <c r="A471" s="6" t="s">
        <v>1270</v>
      </c>
      <c r="B471" s="8">
        <v>46311.083333333336</v>
      </c>
      <c r="C471" s="6" t="s">
        <v>2309</v>
      </c>
      <c r="D471" s="6" t="s">
        <v>35</v>
      </c>
      <c r="E471" s="6" t="s">
        <v>18</v>
      </c>
      <c r="F471" s="6">
        <v>1.0</v>
      </c>
      <c r="G471" s="9">
        <v>12990.0</v>
      </c>
      <c r="H471" s="6" t="s">
        <v>81</v>
      </c>
      <c r="I471" s="6" t="s">
        <v>39</v>
      </c>
    </row>
    <row r="472" ht="21.0" customHeight="1">
      <c r="A472" s="6" t="s">
        <v>1273</v>
      </c>
      <c r="B472" s="8">
        <v>46311.2125</v>
      </c>
      <c r="C472" s="6" t="s">
        <v>2310</v>
      </c>
      <c r="D472" s="6" t="s">
        <v>55</v>
      </c>
      <c r="E472" s="6" t="s">
        <v>21</v>
      </c>
      <c r="F472" s="6">
        <v>1.0</v>
      </c>
      <c r="G472" s="9">
        <v>19990.0</v>
      </c>
      <c r="H472" s="6" t="s">
        <v>47</v>
      </c>
      <c r="I472" s="6" t="s">
        <v>39</v>
      </c>
    </row>
    <row r="473" ht="21.0" customHeight="1">
      <c r="A473" s="6" t="s">
        <v>1275</v>
      </c>
      <c r="B473" s="8">
        <v>46311.34166666667</v>
      </c>
      <c r="C473" s="6" t="s">
        <v>2312</v>
      </c>
      <c r="D473" s="6" t="s">
        <v>55</v>
      </c>
      <c r="E473" s="6" t="s">
        <v>21</v>
      </c>
      <c r="F473" s="6">
        <v>1.0</v>
      </c>
      <c r="G473" s="9">
        <v>19990.0</v>
      </c>
      <c r="H473" s="6" t="s">
        <v>31</v>
      </c>
      <c r="I473" s="6" t="s">
        <v>39</v>
      </c>
    </row>
    <row r="474" ht="21.0" customHeight="1">
      <c r="A474" s="6" t="s">
        <v>1277</v>
      </c>
      <c r="B474" s="8">
        <v>46311.47083333333</v>
      </c>
      <c r="C474" s="6" t="s">
        <v>2314</v>
      </c>
      <c r="D474" s="6" t="s">
        <v>96</v>
      </c>
      <c r="E474" s="6" t="s">
        <v>16</v>
      </c>
      <c r="F474" s="6">
        <v>1.0</v>
      </c>
      <c r="G474" s="9">
        <v>15990.0</v>
      </c>
      <c r="H474" s="6" t="s">
        <v>31</v>
      </c>
      <c r="I474" s="6" t="s">
        <v>39</v>
      </c>
    </row>
    <row r="475" ht="21.0" customHeight="1">
      <c r="A475" s="6" t="s">
        <v>1280</v>
      </c>
      <c r="B475" s="8">
        <v>46311.6</v>
      </c>
      <c r="C475" s="6" t="s">
        <v>2317</v>
      </c>
      <c r="D475" s="6" t="s">
        <v>55</v>
      </c>
      <c r="E475" s="6" t="s">
        <v>21</v>
      </c>
      <c r="F475" s="6">
        <v>1.0</v>
      </c>
      <c r="G475" s="9">
        <v>19990.0</v>
      </c>
      <c r="H475" s="6" t="s">
        <v>38</v>
      </c>
      <c r="I475" s="6" t="s">
        <v>39</v>
      </c>
    </row>
    <row r="476" ht="21.0" customHeight="1">
      <c r="A476" s="6" t="s">
        <v>1282</v>
      </c>
      <c r="B476" s="8">
        <v>46311.729166666664</v>
      </c>
      <c r="C476" s="6" t="s">
        <v>2320</v>
      </c>
      <c r="D476" s="6" t="s">
        <v>44</v>
      </c>
      <c r="E476" s="6" t="s">
        <v>10</v>
      </c>
      <c r="F476" s="6">
        <v>1.0</v>
      </c>
      <c r="G476" s="9">
        <v>8990.0</v>
      </c>
      <c r="H476" s="6" t="s">
        <v>47</v>
      </c>
      <c r="I476" s="6" t="s">
        <v>39</v>
      </c>
    </row>
    <row r="477" ht="21.0" customHeight="1">
      <c r="A477" s="6" t="s">
        <v>1285</v>
      </c>
      <c r="B477" s="8">
        <v>46311.85833333333</v>
      </c>
      <c r="C477" s="6" t="s">
        <v>2323</v>
      </c>
      <c r="D477" s="6" t="s">
        <v>44</v>
      </c>
      <c r="E477" s="6" t="s">
        <v>10</v>
      </c>
      <c r="F477" s="6">
        <v>1.0</v>
      </c>
      <c r="G477" s="9">
        <v>8990.0</v>
      </c>
      <c r="H477" s="6" t="s">
        <v>121</v>
      </c>
      <c r="I477" s="6" t="s">
        <v>39</v>
      </c>
    </row>
    <row r="478" ht="21.0" customHeight="1">
      <c r="A478" s="6" t="s">
        <v>1287</v>
      </c>
      <c r="B478" s="8">
        <v>46311.9875</v>
      </c>
      <c r="C478" s="6" t="s">
        <v>2326</v>
      </c>
      <c r="D478" s="6" t="s">
        <v>70</v>
      </c>
      <c r="E478" s="6" t="s">
        <v>12</v>
      </c>
      <c r="F478" s="6">
        <v>1.0</v>
      </c>
      <c r="G478" s="9">
        <v>34990.0</v>
      </c>
      <c r="H478" s="6" t="s">
        <v>31</v>
      </c>
      <c r="I478" s="6" t="s">
        <v>39</v>
      </c>
    </row>
    <row r="479" ht="21.0" customHeight="1">
      <c r="A479" s="6" t="s">
        <v>1290</v>
      </c>
      <c r="B479" s="8">
        <v>46312.11666666667</v>
      </c>
      <c r="C479" s="6" t="s">
        <v>2328</v>
      </c>
      <c r="D479" s="6" t="s">
        <v>96</v>
      </c>
      <c r="E479" s="6" t="s">
        <v>16</v>
      </c>
      <c r="F479" s="6">
        <v>1.0</v>
      </c>
      <c r="G479" s="9">
        <v>15990.0</v>
      </c>
      <c r="H479" s="6" t="s">
        <v>31</v>
      </c>
      <c r="I479" s="6" t="s">
        <v>39</v>
      </c>
    </row>
    <row r="480" ht="21.0" customHeight="1">
      <c r="A480" s="6" t="s">
        <v>1292</v>
      </c>
      <c r="B480" s="8">
        <v>46312.245833333334</v>
      </c>
      <c r="C480" s="6" t="s">
        <v>2330</v>
      </c>
      <c r="D480" s="6" t="s">
        <v>119</v>
      </c>
      <c r="E480" s="6" t="s">
        <v>14</v>
      </c>
      <c r="F480" s="6">
        <v>1.0</v>
      </c>
      <c r="G480" s="9">
        <v>24990.0</v>
      </c>
      <c r="H480" s="6" t="s">
        <v>81</v>
      </c>
      <c r="I480" s="6" t="s">
        <v>39</v>
      </c>
    </row>
    <row r="481" ht="21.0" customHeight="1">
      <c r="A481" s="6" t="s">
        <v>1294</v>
      </c>
      <c r="B481" s="8">
        <v>46312.375</v>
      </c>
      <c r="C481" s="6" t="s">
        <v>2333</v>
      </c>
      <c r="D481" s="6" t="s">
        <v>119</v>
      </c>
      <c r="E481" s="6" t="s">
        <v>14</v>
      </c>
      <c r="F481" s="6">
        <v>1.0</v>
      </c>
      <c r="G481" s="9">
        <v>24990.0</v>
      </c>
      <c r="H481" s="6" t="s">
        <v>121</v>
      </c>
      <c r="I481" s="6" t="s">
        <v>39</v>
      </c>
    </row>
    <row r="482" ht="21.0" customHeight="1">
      <c r="A482" s="6" t="s">
        <v>1297</v>
      </c>
      <c r="B482" s="8">
        <v>46312.504166666666</v>
      </c>
      <c r="C482" s="6" t="s">
        <v>2336</v>
      </c>
      <c r="D482" s="6" t="s">
        <v>55</v>
      </c>
      <c r="E482" s="6" t="s">
        <v>21</v>
      </c>
      <c r="F482" s="6">
        <v>1.0</v>
      </c>
      <c r="G482" s="9">
        <v>19990.0</v>
      </c>
      <c r="H482" s="6" t="s">
        <v>31</v>
      </c>
      <c r="I482" s="6" t="s">
        <v>39</v>
      </c>
    </row>
    <row r="483" ht="21.0" customHeight="1">
      <c r="A483" s="6" t="s">
        <v>1299</v>
      </c>
      <c r="B483" s="8">
        <v>46312.63333333333</v>
      </c>
      <c r="C483" s="6" t="s">
        <v>2339</v>
      </c>
      <c r="D483" s="6" t="s">
        <v>55</v>
      </c>
      <c r="E483" s="6" t="s">
        <v>21</v>
      </c>
      <c r="F483" s="6">
        <v>1.0</v>
      </c>
      <c r="G483" s="9">
        <v>19990.0</v>
      </c>
      <c r="H483" s="6" t="s">
        <v>81</v>
      </c>
      <c r="I483" s="6" t="s">
        <v>39</v>
      </c>
    </row>
    <row r="484" ht="21.0" customHeight="1">
      <c r="A484" s="6" t="s">
        <v>1302</v>
      </c>
      <c r="B484" s="8">
        <v>46312.7625</v>
      </c>
      <c r="C484" s="6" t="s">
        <v>2342</v>
      </c>
      <c r="D484" s="6" t="s">
        <v>119</v>
      </c>
      <c r="E484" s="6" t="s">
        <v>14</v>
      </c>
      <c r="F484" s="6">
        <v>1.0</v>
      </c>
      <c r="G484" s="9">
        <v>24990.0</v>
      </c>
      <c r="H484" s="6" t="s">
        <v>51</v>
      </c>
      <c r="I484" s="6" t="s">
        <v>39</v>
      </c>
    </row>
    <row r="485" ht="21.0" customHeight="1">
      <c r="A485" s="6" t="s">
        <v>1304</v>
      </c>
      <c r="B485" s="8">
        <v>46312.89166666667</v>
      </c>
      <c r="C485" s="6" t="s">
        <v>2344</v>
      </c>
      <c r="D485" s="6" t="s">
        <v>44</v>
      </c>
      <c r="E485" s="6" t="s">
        <v>10</v>
      </c>
      <c r="F485" s="6">
        <v>1.0</v>
      </c>
      <c r="G485" s="9">
        <v>8990.0</v>
      </c>
      <c r="H485" s="6" t="s">
        <v>38</v>
      </c>
      <c r="I485" s="6" t="s">
        <v>39</v>
      </c>
    </row>
    <row r="486" ht="21.0" customHeight="1">
      <c r="A486" s="6" t="s">
        <v>1306</v>
      </c>
      <c r="B486" s="8">
        <v>46313.020833333336</v>
      </c>
      <c r="C486" s="6" t="s">
        <v>2348</v>
      </c>
      <c r="D486" s="6" t="s">
        <v>55</v>
      </c>
      <c r="E486" s="6" t="s">
        <v>21</v>
      </c>
      <c r="F486" s="6">
        <v>1.0</v>
      </c>
      <c r="G486" s="9">
        <v>19990.0</v>
      </c>
      <c r="H486" s="6" t="s">
        <v>38</v>
      </c>
      <c r="I486" s="6" t="s">
        <v>39</v>
      </c>
    </row>
    <row r="487" ht="21.0" customHeight="1">
      <c r="A487" s="6" t="s">
        <v>1309</v>
      </c>
      <c r="B487" s="8">
        <v>46313.15</v>
      </c>
      <c r="C487" s="6" t="s">
        <v>2350</v>
      </c>
      <c r="D487" s="6" t="s">
        <v>55</v>
      </c>
      <c r="E487" s="6" t="s">
        <v>21</v>
      </c>
      <c r="F487" s="6">
        <v>1.0</v>
      </c>
      <c r="G487" s="9">
        <v>19990.0</v>
      </c>
      <c r="H487" s="6" t="s">
        <v>81</v>
      </c>
      <c r="I487" s="6" t="s">
        <v>39</v>
      </c>
    </row>
    <row r="488" ht="21.0" customHeight="1">
      <c r="A488" s="6" t="s">
        <v>1311</v>
      </c>
      <c r="B488" s="8">
        <v>46313.27916666667</v>
      </c>
      <c r="C488" s="6" t="s">
        <v>2353</v>
      </c>
      <c r="D488" s="6" t="s">
        <v>44</v>
      </c>
      <c r="E488" s="6" t="s">
        <v>10</v>
      </c>
      <c r="F488" s="6">
        <v>1.0</v>
      </c>
      <c r="G488" s="9">
        <v>8990.0</v>
      </c>
      <c r="H488" s="6" t="s">
        <v>81</v>
      </c>
      <c r="I488" s="6" t="s">
        <v>39</v>
      </c>
    </row>
    <row r="489" ht="21.0" customHeight="1">
      <c r="A489" s="6" t="s">
        <v>1314</v>
      </c>
      <c r="B489" s="8">
        <v>46313.28194444445</v>
      </c>
      <c r="C489" s="6" t="s">
        <v>2353</v>
      </c>
      <c r="D489" s="6" t="s">
        <v>44</v>
      </c>
      <c r="E489" s="6" t="s">
        <v>10</v>
      </c>
      <c r="F489" s="6">
        <v>1.0</v>
      </c>
      <c r="G489" s="9">
        <v>8990.0</v>
      </c>
      <c r="H489" s="6" t="s">
        <v>81</v>
      </c>
      <c r="I489" s="6" t="s">
        <v>39</v>
      </c>
    </row>
    <row r="490" ht="21.0" customHeight="1">
      <c r="A490" s="6" t="s">
        <v>1316</v>
      </c>
      <c r="B490" s="8">
        <v>46313.5375</v>
      </c>
      <c r="C490" s="6" t="s">
        <v>2360</v>
      </c>
      <c r="D490" s="6" t="s">
        <v>44</v>
      </c>
      <c r="E490" s="6" t="s">
        <v>10</v>
      </c>
      <c r="F490" s="6">
        <v>2.0</v>
      </c>
      <c r="G490" s="9">
        <v>17980.0</v>
      </c>
      <c r="H490" s="6" t="s">
        <v>51</v>
      </c>
      <c r="I490" s="6" t="s">
        <v>39</v>
      </c>
    </row>
    <row r="491" ht="21.0" customHeight="1">
      <c r="A491" s="6" t="s">
        <v>1319</v>
      </c>
      <c r="B491" s="8">
        <v>46313.666666666664</v>
      </c>
      <c r="C491" s="6" t="s">
        <v>2366</v>
      </c>
      <c r="D491" s="6" t="s">
        <v>55</v>
      </c>
      <c r="E491" s="6" t="s">
        <v>21</v>
      </c>
      <c r="F491" s="6">
        <v>1.0</v>
      </c>
      <c r="G491" s="9">
        <v>19990.0</v>
      </c>
      <c r="H491" s="6" t="s">
        <v>38</v>
      </c>
      <c r="I491" s="6" t="s">
        <v>39</v>
      </c>
    </row>
    <row r="492" ht="21.0" customHeight="1">
      <c r="A492" s="6" t="s">
        <v>1321</v>
      </c>
      <c r="B492" s="8">
        <v>46313.79583333333</v>
      </c>
      <c r="C492" s="6" t="s">
        <v>2371</v>
      </c>
      <c r="D492" s="6" t="s">
        <v>55</v>
      </c>
      <c r="E492" s="6" t="s">
        <v>21</v>
      </c>
      <c r="F492" s="6">
        <v>1.0</v>
      </c>
      <c r="G492" s="9">
        <v>19990.0</v>
      </c>
      <c r="H492" s="6" t="s">
        <v>121</v>
      </c>
      <c r="I492" s="6" t="s">
        <v>39</v>
      </c>
    </row>
    <row r="493" ht="21.0" customHeight="1">
      <c r="A493" s="6" t="s">
        <v>1323</v>
      </c>
      <c r="B493" s="8">
        <v>46313.925</v>
      </c>
      <c r="C493" s="6" t="s">
        <v>2378</v>
      </c>
      <c r="D493" s="6" t="s">
        <v>55</v>
      </c>
      <c r="E493" s="6" t="s">
        <v>21</v>
      </c>
      <c r="F493" s="6">
        <v>3.0</v>
      </c>
      <c r="G493" s="9">
        <v>59970.0</v>
      </c>
      <c r="H493" s="6" t="s">
        <v>51</v>
      </c>
      <c r="I493" s="6" t="s">
        <v>39</v>
      </c>
    </row>
    <row r="494" ht="21.0" customHeight="1">
      <c r="A494" s="6" t="s">
        <v>1326</v>
      </c>
      <c r="B494" s="8">
        <v>46314.05416666667</v>
      </c>
      <c r="C494" s="6" t="s">
        <v>2381</v>
      </c>
      <c r="D494" s="6" t="s">
        <v>35</v>
      </c>
      <c r="E494" s="6" t="s">
        <v>18</v>
      </c>
      <c r="F494" s="6">
        <v>1.0</v>
      </c>
      <c r="G494" s="9">
        <v>12990.0</v>
      </c>
      <c r="H494" s="6" t="s">
        <v>51</v>
      </c>
      <c r="I494" s="6" t="s">
        <v>39</v>
      </c>
    </row>
    <row r="495" ht="21.0" customHeight="1">
      <c r="A495" s="6" t="s">
        <v>1328</v>
      </c>
      <c r="B495" s="8">
        <v>46314.183333333334</v>
      </c>
      <c r="C495" s="6" t="s">
        <v>2383</v>
      </c>
      <c r="D495" s="6" t="s">
        <v>119</v>
      </c>
      <c r="E495" s="6" t="s">
        <v>14</v>
      </c>
      <c r="F495" s="6">
        <v>1.0</v>
      </c>
      <c r="G495" s="9">
        <v>24990.0</v>
      </c>
      <c r="H495" s="6" t="s">
        <v>81</v>
      </c>
      <c r="I495" s="6" t="s">
        <v>39</v>
      </c>
    </row>
    <row r="496" ht="21.0" customHeight="1">
      <c r="A496" s="6" t="s">
        <v>1331</v>
      </c>
      <c r="B496" s="8">
        <v>46314.3125</v>
      </c>
      <c r="C496" s="6" t="s">
        <v>2386</v>
      </c>
      <c r="D496" s="6" t="s">
        <v>119</v>
      </c>
      <c r="E496" s="6" t="s">
        <v>14</v>
      </c>
      <c r="F496" s="6">
        <v>2.0</v>
      </c>
      <c r="G496" s="9">
        <v>49980.0</v>
      </c>
      <c r="H496" s="6" t="s">
        <v>121</v>
      </c>
      <c r="I496" s="6" t="s">
        <v>39</v>
      </c>
    </row>
    <row r="497" ht="21.0" customHeight="1">
      <c r="A497" s="6" t="s">
        <v>1333</v>
      </c>
      <c r="B497" s="8">
        <v>46314.441666666666</v>
      </c>
      <c r="C497" s="6" t="s">
        <v>2389</v>
      </c>
      <c r="D497" s="6" t="s">
        <v>55</v>
      </c>
      <c r="E497" s="6" t="s">
        <v>21</v>
      </c>
      <c r="F497" s="6">
        <v>1.0</v>
      </c>
      <c r="G497" s="9">
        <v>19990.0</v>
      </c>
      <c r="H497" s="6" t="s">
        <v>51</v>
      </c>
      <c r="I497" s="6" t="s">
        <v>39</v>
      </c>
    </row>
    <row r="498" ht="21.0" customHeight="1">
      <c r="A498" s="6" t="s">
        <v>1336</v>
      </c>
      <c r="B498" s="8">
        <v>46314.57083333333</v>
      </c>
      <c r="C498" s="6" t="s">
        <v>2392</v>
      </c>
      <c r="D498" s="6" t="s">
        <v>35</v>
      </c>
      <c r="E498" s="6" t="s">
        <v>18</v>
      </c>
      <c r="F498" s="6">
        <v>2.0</v>
      </c>
      <c r="G498" s="9">
        <v>25980.0</v>
      </c>
      <c r="H498" s="6" t="s">
        <v>38</v>
      </c>
      <c r="I498" s="6" t="s">
        <v>39</v>
      </c>
    </row>
    <row r="499" ht="21.0" customHeight="1">
      <c r="A499" s="6" t="s">
        <v>1338</v>
      </c>
      <c r="B499" s="8">
        <v>46314.7</v>
      </c>
      <c r="C499" s="6" t="s">
        <v>2394</v>
      </c>
      <c r="D499" s="6" t="s">
        <v>44</v>
      </c>
      <c r="E499" s="6" t="s">
        <v>10</v>
      </c>
      <c r="F499" s="6">
        <v>1.0</v>
      </c>
      <c r="G499" s="9">
        <v>8990.0</v>
      </c>
      <c r="H499" s="6" t="s">
        <v>121</v>
      </c>
      <c r="I499" s="6" t="s">
        <v>39</v>
      </c>
    </row>
    <row r="500" ht="21.0" customHeight="1">
      <c r="A500" s="6" t="s">
        <v>1340</v>
      </c>
      <c r="B500" s="8">
        <v>46314.82916666667</v>
      </c>
      <c r="C500" s="6" t="s">
        <v>2397</v>
      </c>
      <c r="D500" s="6" t="s">
        <v>70</v>
      </c>
      <c r="E500" s="6" t="s">
        <v>12</v>
      </c>
      <c r="F500" s="6">
        <v>1.0</v>
      </c>
      <c r="G500" s="9">
        <v>34990.0</v>
      </c>
      <c r="H500" s="6" t="s">
        <v>47</v>
      </c>
      <c r="I500" s="6" t="s">
        <v>39</v>
      </c>
    </row>
    <row r="501" ht="21.0" customHeight="1">
      <c r="A501" s="6" t="s">
        <v>1343</v>
      </c>
      <c r="B501" s="8">
        <v>46314.958333333336</v>
      </c>
      <c r="C501" s="6" t="s">
        <v>2400</v>
      </c>
      <c r="D501" s="6" t="s">
        <v>44</v>
      </c>
      <c r="E501" s="6" t="s">
        <v>10</v>
      </c>
      <c r="F501" s="6">
        <v>1.0</v>
      </c>
      <c r="G501" s="9">
        <v>8990.0</v>
      </c>
      <c r="H501" s="6" t="s">
        <v>81</v>
      </c>
      <c r="I501" s="6" t="s">
        <v>39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7.0"/>
    <col customWidth="1" min="3" max="3" width="22.0"/>
    <col customWidth="1" min="4" max="4" width="20.0"/>
    <col customWidth="1" min="5" max="5" width="24.0"/>
    <col customWidth="1" min="6" max="6" width="22.0"/>
    <col customWidth="1" min="7" max="26" width="8.63"/>
  </cols>
  <sheetData>
    <row r="1" ht="28.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8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 t="s">
        <v>20</v>
      </c>
      <c r="B2" s="6" t="s">
        <v>24</v>
      </c>
      <c r="C2" s="8">
        <v>46250.50833333333</v>
      </c>
      <c r="D2" s="6" t="s">
        <v>26</v>
      </c>
      <c r="E2" s="9">
        <v>38970.0</v>
      </c>
      <c r="F2" s="6" t="s">
        <v>27</v>
      </c>
    </row>
    <row r="3" ht="21.0" customHeight="1">
      <c r="A3" s="6" t="s">
        <v>28</v>
      </c>
      <c r="B3" s="6" t="s">
        <v>29</v>
      </c>
      <c r="C3" s="8">
        <v>46250.67222222222</v>
      </c>
      <c r="D3" s="6" t="s">
        <v>26</v>
      </c>
      <c r="E3" s="9">
        <v>8990.0</v>
      </c>
      <c r="F3" s="6" t="s">
        <v>30</v>
      </c>
    </row>
    <row r="4" ht="21.0" customHeight="1">
      <c r="A4" s="6" t="s">
        <v>32</v>
      </c>
      <c r="B4" s="6" t="s">
        <v>33</v>
      </c>
      <c r="C4" s="8">
        <v>46250.770833333336</v>
      </c>
      <c r="D4" s="6" t="s">
        <v>26</v>
      </c>
      <c r="E4" s="9">
        <v>8990.0</v>
      </c>
      <c r="F4" s="6" t="s">
        <v>30</v>
      </c>
    </row>
    <row r="5" ht="21.0" customHeight="1">
      <c r="A5" s="6" t="s">
        <v>36</v>
      </c>
      <c r="B5" s="6" t="s">
        <v>37</v>
      </c>
      <c r="C5" s="8">
        <v>46250.91805555556</v>
      </c>
      <c r="D5" s="6" t="s">
        <v>26</v>
      </c>
      <c r="E5" s="9">
        <v>19990.0</v>
      </c>
      <c r="F5" s="6" t="s">
        <v>30</v>
      </c>
    </row>
    <row r="6" ht="21.0" customHeight="1">
      <c r="A6" s="6" t="s">
        <v>40</v>
      </c>
      <c r="B6" s="6" t="s">
        <v>41</v>
      </c>
      <c r="C6" s="8">
        <v>46251.02847222222</v>
      </c>
      <c r="D6" s="6" t="s">
        <v>26</v>
      </c>
      <c r="E6" s="9">
        <v>8990.0</v>
      </c>
      <c r="F6" s="6" t="s">
        <v>43</v>
      </c>
    </row>
    <row r="7" ht="21.0" customHeight="1">
      <c r="A7" s="6" t="s">
        <v>45</v>
      </c>
      <c r="B7" s="6" t="s">
        <v>46</v>
      </c>
      <c r="C7" s="8">
        <v>46251.20277777778</v>
      </c>
      <c r="D7" s="6" t="s">
        <v>26</v>
      </c>
      <c r="E7" s="9">
        <v>8990.0</v>
      </c>
      <c r="F7" s="6" t="s">
        <v>27</v>
      </c>
    </row>
    <row r="8" ht="21.0" customHeight="1">
      <c r="A8" s="6" t="s">
        <v>48</v>
      </c>
      <c r="B8" s="6" t="s">
        <v>50</v>
      </c>
      <c r="C8" s="8">
        <v>46251.28958333333</v>
      </c>
      <c r="D8" s="6" t="s">
        <v>26</v>
      </c>
      <c r="E8" s="9">
        <v>19990.0</v>
      </c>
      <c r="F8" s="6" t="s">
        <v>30</v>
      </c>
    </row>
    <row r="9" ht="21.0" customHeight="1">
      <c r="A9" s="6" t="s">
        <v>52</v>
      </c>
      <c r="B9" s="6" t="s">
        <v>53</v>
      </c>
      <c r="C9" s="8">
        <v>46251.44930555556</v>
      </c>
      <c r="D9" s="6" t="s">
        <v>26</v>
      </c>
      <c r="E9" s="9">
        <v>34990.0</v>
      </c>
      <c r="F9" s="6" t="s">
        <v>30</v>
      </c>
    </row>
    <row r="10" ht="21.0" customHeight="1">
      <c r="A10" s="6" t="s">
        <v>56</v>
      </c>
      <c r="B10" s="6" t="s">
        <v>57</v>
      </c>
      <c r="C10" s="8">
        <v>46251.597916666666</v>
      </c>
      <c r="D10" s="6" t="s">
        <v>26</v>
      </c>
      <c r="E10" s="9">
        <v>12990.0</v>
      </c>
      <c r="F10" s="6" t="s">
        <v>43</v>
      </c>
    </row>
    <row r="11" ht="21.0" customHeight="1">
      <c r="A11" s="6" t="s">
        <v>59</v>
      </c>
      <c r="B11" s="6" t="s">
        <v>60</v>
      </c>
      <c r="C11" s="8">
        <v>46251.73611111111</v>
      </c>
      <c r="D11" s="6" t="s">
        <v>26</v>
      </c>
      <c r="E11" s="9">
        <v>8990.0</v>
      </c>
      <c r="F11" s="6" t="s">
        <v>43</v>
      </c>
    </row>
    <row r="12" ht="21.0" customHeight="1">
      <c r="A12" s="6" t="s">
        <v>61</v>
      </c>
      <c r="B12" s="6" t="s">
        <v>63</v>
      </c>
      <c r="C12" s="8">
        <v>46251.822916666664</v>
      </c>
      <c r="D12" s="6" t="s">
        <v>26</v>
      </c>
      <c r="E12" s="9">
        <v>8990.0</v>
      </c>
      <c r="F12" s="6" t="s">
        <v>27</v>
      </c>
    </row>
    <row r="13" ht="21.0" customHeight="1">
      <c r="A13" s="6" t="s">
        <v>64</v>
      </c>
      <c r="B13" s="6" t="s">
        <v>65</v>
      </c>
      <c r="C13" s="8">
        <v>46251.95347222222</v>
      </c>
      <c r="D13" s="6" t="s">
        <v>26</v>
      </c>
      <c r="E13" s="9">
        <v>18000.0</v>
      </c>
      <c r="F13" s="6" t="s">
        <v>43</v>
      </c>
    </row>
    <row r="14" ht="21.0" customHeight="1">
      <c r="A14" s="6" t="s">
        <v>67</v>
      </c>
      <c r="B14" s="6" t="s">
        <v>68</v>
      </c>
      <c r="C14" s="8">
        <v>46252.07361111111</v>
      </c>
      <c r="D14" s="6" t="s">
        <v>26</v>
      </c>
      <c r="E14" s="9">
        <v>19990.0</v>
      </c>
      <c r="F14" s="6" t="s">
        <v>30</v>
      </c>
    </row>
    <row r="15" ht="21.0" customHeight="1">
      <c r="A15" s="6" t="s">
        <v>71</v>
      </c>
      <c r="B15" s="6" t="s">
        <v>72</v>
      </c>
      <c r="C15" s="8">
        <v>46252.259722222225</v>
      </c>
      <c r="D15" s="6" t="s">
        <v>26</v>
      </c>
      <c r="E15" s="9">
        <v>15990.0</v>
      </c>
      <c r="F15" s="6" t="s">
        <v>27</v>
      </c>
    </row>
    <row r="16" ht="21.0" customHeight="1">
      <c r="A16" s="6" t="s">
        <v>73</v>
      </c>
      <c r="B16" s="6" t="s">
        <v>74</v>
      </c>
      <c r="C16" s="8">
        <v>46252.35555555556</v>
      </c>
      <c r="D16" s="6" t="s">
        <v>26</v>
      </c>
      <c r="E16" s="9">
        <v>12990.0</v>
      </c>
      <c r="F16" s="6" t="s">
        <v>30</v>
      </c>
    </row>
    <row r="17" ht="21.0" customHeight="1">
      <c r="A17" s="6" t="s">
        <v>76</v>
      </c>
      <c r="B17" s="6" t="s">
        <v>77</v>
      </c>
      <c r="C17" s="8">
        <v>46252.48472222222</v>
      </c>
      <c r="D17" s="6" t="s">
        <v>26</v>
      </c>
      <c r="E17" s="9">
        <v>15990.0</v>
      </c>
      <c r="F17" s="6" t="s">
        <v>43</v>
      </c>
    </row>
    <row r="18" ht="21.0" customHeight="1">
      <c r="A18" s="6" t="s">
        <v>79</v>
      </c>
      <c r="B18" s="6" t="s">
        <v>80</v>
      </c>
      <c r="C18" s="8">
        <v>46252.59375</v>
      </c>
      <c r="D18" s="6" t="s">
        <v>26</v>
      </c>
      <c r="E18" s="9">
        <v>8990.0</v>
      </c>
      <c r="F18" s="6" t="s">
        <v>27</v>
      </c>
    </row>
    <row r="19" ht="21.0" customHeight="1">
      <c r="A19" s="6" t="s">
        <v>83</v>
      </c>
      <c r="B19" s="6" t="s">
        <v>84</v>
      </c>
      <c r="C19" s="8">
        <v>46252.725694444445</v>
      </c>
      <c r="D19" s="6" t="s">
        <v>26</v>
      </c>
      <c r="E19" s="9">
        <v>26970.0</v>
      </c>
      <c r="F19" s="6" t="s">
        <v>43</v>
      </c>
    </row>
    <row r="20" ht="21.0" customHeight="1">
      <c r="A20" s="6" t="s">
        <v>85</v>
      </c>
      <c r="B20" s="6" t="s">
        <v>86</v>
      </c>
      <c r="C20" s="8">
        <v>46252.84305555555</v>
      </c>
      <c r="D20" s="6" t="s">
        <v>26</v>
      </c>
      <c r="E20" s="9">
        <v>8990.0</v>
      </c>
      <c r="F20" s="6" t="s">
        <v>27</v>
      </c>
    </row>
    <row r="21" ht="21.0" customHeight="1">
      <c r="A21" s="6" t="s">
        <v>88</v>
      </c>
      <c r="B21" s="6" t="s">
        <v>89</v>
      </c>
      <c r="C21" s="8">
        <v>46252.97083333333</v>
      </c>
      <c r="D21" s="6" t="s">
        <v>26</v>
      </c>
      <c r="E21" s="9">
        <v>49980.0</v>
      </c>
      <c r="F21" s="6" t="s">
        <v>43</v>
      </c>
    </row>
    <row r="22" ht="21.0" customHeight="1">
      <c r="A22" s="6" t="s">
        <v>91</v>
      </c>
      <c r="B22" s="6" t="s">
        <v>92</v>
      </c>
      <c r="C22" s="8">
        <v>46253.12013888889</v>
      </c>
      <c r="D22" s="6" t="s">
        <v>26</v>
      </c>
      <c r="E22" s="9">
        <v>12990.0</v>
      </c>
      <c r="F22" s="6" t="s">
        <v>43</v>
      </c>
    </row>
    <row r="23" ht="21.0" customHeight="1">
      <c r="A23" s="6" t="s">
        <v>93</v>
      </c>
      <c r="B23" s="6" t="s">
        <v>95</v>
      </c>
      <c r="C23" s="8">
        <v>46253.29305555556</v>
      </c>
      <c r="D23" s="6" t="s">
        <v>97</v>
      </c>
      <c r="E23" s="9">
        <v>0.0</v>
      </c>
      <c r="F23" s="6" t="s">
        <v>30</v>
      </c>
    </row>
    <row r="24" ht="21.0" customHeight="1">
      <c r="A24" s="6" t="s">
        <v>98</v>
      </c>
      <c r="B24" s="6" t="s">
        <v>99</v>
      </c>
      <c r="C24" s="8">
        <v>46253.37430555555</v>
      </c>
      <c r="D24" s="6" t="s">
        <v>26</v>
      </c>
      <c r="E24" s="9">
        <v>24990.0</v>
      </c>
      <c r="F24" s="6" t="s">
        <v>43</v>
      </c>
    </row>
    <row r="25" ht="21.0" customHeight="1">
      <c r="A25" s="6" t="s">
        <v>101</v>
      </c>
      <c r="B25" s="6" t="s">
        <v>102</v>
      </c>
      <c r="C25" s="8">
        <v>46253.48472222222</v>
      </c>
      <c r="D25" s="6" t="s">
        <v>26</v>
      </c>
      <c r="E25" s="9">
        <v>12990.0</v>
      </c>
      <c r="F25" s="6" t="s">
        <v>30</v>
      </c>
    </row>
    <row r="26" ht="21.0" customHeight="1">
      <c r="A26" s="6" t="s">
        <v>104</v>
      </c>
      <c r="B26" s="6" t="s">
        <v>105</v>
      </c>
      <c r="C26" s="8">
        <v>46253.618055555555</v>
      </c>
      <c r="D26" s="6" t="s">
        <v>26</v>
      </c>
      <c r="E26" s="9">
        <v>74970.0</v>
      </c>
      <c r="F26" s="6" t="s">
        <v>43</v>
      </c>
    </row>
    <row r="27" ht="21.0" customHeight="1">
      <c r="A27" s="6" t="s">
        <v>106</v>
      </c>
      <c r="B27" s="6" t="s">
        <v>107</v>
      </c>
      <c r="C27" s="8">
        <v>46253.802083333336</v>
      </c>
      <c r="D27" s="6" t="s">
        <v>26</v>
      </c>
      <c r="E27" s="9">
        <v>24990.0</v>
      </c>
      <c r="F27" s="6" t="s">
        <v>27</v>
      </c>
    </row>
    <row r="28" ht="21.0" customHeight="1">
      <c r="A28" s="6" t="s">
        <v>109</v>
      </c>
      <c r="B28" s="6" t="s">
        <v>110</v>
      </c>
      <c r="C28" s="8">
        <v>46253.90416666667</v>
      </c>
      <c r="D28" s="6" t="s">
        <v>26</v>
      </c>
      <c r="E28" s="9">
        <v>24990.0</v>
      </c>
      <c r="F28" s="6" t="s">
        <v>30</v>
      </c>
    </row>
    <row r="29" ht="21.0" customHeight="1">
      <c r="A29" s="6" t="s">
        <v>112</v>
      </c>
      <c r="B29" s="6" t="s">
        <v>113</v>
      </c>
      <c r="C29" s="8">
        <v>46254.00486111111</v>
      </c>
      <c r="D29" s="6" t="s">
        <v>26</v>
      </c>
      <c r="E29" s="9">
        <v>24990.0</v>
      </c>
      <c r="F29" s="6" t="s">
        <v>43</v>
      </c>
    </row>
    <row r="30" ht="21.0" customHeight="1">
      <c r="A30" s="6" t="s">
        <v>115</v>
      </c>
      <c r="B30" s="6" t="s">
        <v>116</v>
      </c>
      <c r="C30" s="8">
        <v>46254.14513888889</v>
      </c>
      <c r="D30" s="6" t="s">
        <v>26</v>
      </c>
      <c r="E30" s="9">
        <v>19990.0</v>
      </c>
      <c r="F30" s="6" t="s">
        <v>43</v>
      </c>
    </row>
    <row r="31" ht="21.0" customHeight="1">
      <c r="A31" s="6" t="s">
        <v>118</v>
      </c>
      <c r="B31" s="6" t="s">
        <v>120</v>
      </c>
      <c r="C31" s="8">
        <v>46254.316666666666</v>
      </c>
      <c r="D31" s="6" t="s">
        <v>26</v>
      </c>
      <c r="E31" s="9">
        <v>12990.0</v>
      </c>
      <c r="F31" s="6" t="s">
        <v>27</v>
      </c>
    </row>
    <row r="32" ht="21.0" customHeight="1">
      <c r="A32" s="6" t="s">
        <v>122</v>
      </c>
      <c r="B32" s="6" t="s">
        <v>123</v>
      </c>
      <c r="C32" s="8">
        <v>46254.39236111111</v>
      </c>
      <c r="D32" s="6" t="s">
        <v>125</v>
      </c>
      <c r="E32" s="9">
        <v>0.0</v>
      </c>
      <c r="F32" s="6" t="s">
        <v>27</v>
      </c>
    </row>
    <row r="33" ht="21.0" customHeight="1">
      <c r="A33" s="6" t="s">
        <v>126</v>
      </c>
      <c r="B33" s="6" t="s">
        <v>127</v>
      </c>
      <c r="C33" s="8">
        <v>46254.53472222222</v>
      </c>
      <c r="D33" s="6" t="s">
        <v>26</v>
      </c>
      <c r="E33" s="9">
        <v>8990.0</v>
      </c>
      <c r="F33" s="6" t="s">
        <v>27</v>
      </c>
    </row>
    <row r="34" ht="21.0" customHeight="1">
      <c r="A34" s="6" t="s">
        <v>129</v>
      </c>
      <c r="B34" s="6" t="s">
        <v>130</v>
      </c>
      <c r="C34" s="8">
        <v>46254.700694444444</v>
      </c>
      <c r="D34" s="6" t="s">
        <v>26</v>
      </c>
      <c r="E34" s="9">
        <v>25980.0</v>
      </c>
      <c r="F34" s="6" t="s">
        <v>43</v>
      </c>
    </row>
    <row r="35" ht="21.0" customHeight="1">
      <c r="A35" s="6" t="s">
        <v>132</v>
      </c>
      <c r="B35" s="6" t="s">
        <v>133</v>
      </c>
      <c r="C35" s="8">
        <v>46254.77222222222</v>
      </c>
      <c r="D35" s="6" t="s">
        <v>26</v>
      </c>
      <c r="E35" s="9">
        <v>8990.0</v>
      </c>
      <c r="F35" s="6" t="s">
        <v>27</v>
      </c>
    </row>
    <row r="36" ht="21.0" customHeight="1">
      <c r="A36" s="6" t="s">
        <v>134</v>
      </c>
      <c r="B36" s="6" t="s">
        <v>135</v>
      </c>
      <c r="C36" s="8">
        <v>46254.82430555556</v>
      </c>
      <c r="D36" s="6" t="s">
        <v>26</v>
      </c>
      <c r="E36" s="9">
        <v>8990.0</v>
      </c>
      <c r="F36" s="6" t="s">
        <v>27</v>
      </c>
    </row>
    <row r="37" ht="21.0" customHeight="1">
      <c r="A37" s="6" t="s">
        <v>137</v>
      </c>
      <c r="B37" s="6" t="s">
        <v>138</v>
      </c>
      <c r="C37" s="8">
        <v>46255.09930555556</v>
      </c>
      <c r="D37" s="6" t="s">
        <v>26</v>
      </c>
      <c r="E37" s="9">
        <v>34990.0</v>
      </c>
      <c r="F37" s="6" t="s">
        <v>27</v>
      </c>
    </row>
    <row r="38" ht="21.0" customHeight="1">
      <c r="A38" s="6" t="s">
        <v>140</v>
      </c>
      <c r="B38" s="6" t="s">
        <v>141</v>
      </c>
      <c r="C38" s="8">
        <v>46255.22777777778</v>
      </c>
      <c r="D38" s="6" t="s">
        <v>26</v>
      </c>
      <c r="E38" s="9">
        <v>15990.0</v>
      </c>
      <c r="F38" s="6" t="s">
        <v>43</v>
      </c>
    </row>
    <row r="39" ht="21.0" customHeight="1">
      <c r="A39" s="6" t="s">
        <v>143</v>
      </c>
      <c r="B39" s="6" t="s">
        <v>144</v>
      </c>
      <c r="C39" s="8">
        <v>46255.29375</v>
      </c>
      <c r="D39" s="6" t="s">
        <v>26</v>
      </c>
      <c r="E39" s="9">
        <v>15990.0</v>
      </c>
      <c r="F39" s="6" t="s">
        <v>27</v>
      </c>
    </row>
    <row r="40" ht="21.0" customHeight="1">
      <c r="A40" s="6" t="s">
        <v>145</v>
      </c>
      <c r="B40" s="6" t="s">
        <v>146</v>
      </c>
      <c r="C40" s="8">
        <v>46255.46388888889</v>
      </c>
      <c r="D40" s="6" t="s">
        <v>26</v>
      </c>
      <c r="E40" s="9">
        <v>15990.0</v>
      </c>
      <c r="F40" s="6" t="s">
        <v>27</v>
      </c>
    </row>
    <row r="41" ht="21.0" customHeight="1">
      <c r="A41" s="6" t="s">
        <v>148</v>
      </c>
      <c r="B41" s="6" t="s">
        <v>149</v>
      </c>
      <c r="C41" s="8">
        <v>46255.58819444444</v>
      </c>
      <c r="D41" s="6" t="s">
        <v>26</v>
      </c>
      <c r="E41" s="9">
        <v>36980.0</v>
      </c>
      <c r="F41" s="6" t="s">
        <v>43</v>
      </c>
    </row>
    <row r="42" ht="21.0" customHeight="1">
      <c r="A42" s="6" t="s">
        <v>151</v>
      </c>
      <c r="B42" s="6" t="s">
        <v>152</v>
      </c>
      <c r="C42" s="8">
        <v>46255.74722222222</v>
      </c>
      <c r="D42" s="6" t="s">
        <v>26</v>
      </c>
      <c r="E42" s="9">
        <v>19990.0</v>
      </c>
      <c r="F42" s="6" t="s">
        <v>43</v>
      </c>
    </row>
    <row r="43" ht="21.0" customHeight="1">
      <c r="A43" s="6" t="s">
        <v>154</v>
      </c>
      <c r="B43" s="6" t="s">
        <v>155</v>
      </c>
      <c r="C43" s="8">
        <v>46255.85208333333</v>
      </c>
      <c r="D43" s="6" t="s">
        <v>26</v>
      </c>
      <c r="E43" s="9">
        <v>17980.0</v>
      </c>
      <c r="F43" s="6" t="s">
        <v>30</v>
      </c>
    </row>
    <row r="44" ht="21.0" customHeight="1">
      <c r="A44" s="6" t="s">
        <v>156</v>
      </c>
      <c r="B44" s="6" t="s">
        <v>157</v>
      </c>
      <c r="C44" s="8">
        <v>46255.96597222222</v>
      </c>
      <c r="D44" s="6" t="s">
        <v>26</v>
      </c>
      <c r="E44" s="9">
        <v>34990.0</v>
      </c>
      <c r="F44" s="6" t="s">
        <v>27</v>
      </c>
    </row>
    <row r="45" ht="21.0" customHeight="1">
      <c r="A45" s="6" t="s">
        <v>159</v>
      </c>
      <c r="B45" s="6" t="s">
        <v>160</v>
      </c>
      <c r="C45" s="8">
        <v>46256.07777777778</v>
      </c>
      <c r="D45" s="6" t="s">
        <v>26</v>
      </c>
      <c r="E45" s="9">
        <v>24990.0</v>
      </c>
      <c r="F45" s="6" t="s">
        <v>27</v>
      </c>
    </row>
    <row r="46" ht="21.0" customHeight="1">
      <c r="A46" s="6" t="s">
        <v>162</v>
      </c>
      <c r="B46" s="6" t="s">
        <v>163</v>
      </c>
      <c r="C46" s="8">
        <v>46256.22152777778</v>
      </c>
      <c r="D46" s="6" t="s">
        <v>26</v>
      </c>
      <c r="E46" s="9">
        <v>34990.0</v>
      </c>
      <c r="F46" s="6" t="s">
        <v>27</v>
      </c>
    </row>
    <row r="47" ht="21.0" customHeight="1">
      <c r="A47" s="6" t="s">
        <v>165</v>
      </c>
      <c r="B47" s="6" t="s">
        <v>166</v>
      </c>
      <c r="C47" s="8">
        <v>46256.34444444445</v>
      </c>
      <c r="D47" s="6" t="s">
        <v>26</v>
      </c>
      <c r="E47" s="9">
        <v>8990.0</v>
      </c>
      <c r="F47" s="6" t="s">
        <v>43</v>
      </c>
    </row>
    <row r="48" ht="21.0" customHeight="1">
      <c r="A48" s="6" t="s">
        <v>167</v>
      </c>
      <c r="B48" s="6" t="s">
        <v>168</v>
      </c>
      <c r="C48" s="8">
        <v>46256.48055555556</v>
      </c>
      <c r="D48" s="6" t="s">
        <v>26</v>
      </c>
      <c r="E48" s="9">
        <v>24990.0</v>
      </c>
      <c r="F48" s="6" t="s">
        <v>30</v>
      </c>
    </row>
    <row r="49" ht="21.0" customHeight="1">
      <c r="A49" s="6" t="s">
        <v>170</v>
      </c>
      <c r="B49" s="6" t="s">
        <v>171</v>
      </c>
      <c r="C49" s="8">
        <v>46256.61666666667</v>
      </c>
      <c r="D49" s="6" t="s">
        <v>26</v>
      </c>
      <c r="E49" s="9">
        <v>26970.0</v>
      </c>
      <c r="F49" s="6" t="s">
        <v>30</v>
      </c>
    </row>
    <row r="50" ht="21.0" customHeight="1">
      <c r="A50" s="6" t="s">
        <v>173</v>
      </c>
      <c r="B50" s="6" t="s">
        <v>174</v>
      </c>
      <c r="C50" s="8">
        <v>46256.72222222222</v>
      </c>
      <c r="D50" s="6" t="s">
        <v>26</v>
      </c>
      <c r="E50" s="9">
        <v>34990.0</v>
      </c>
      <c r="F50" s="6" t="s">
        <v>30</v>
      </c>
    </row>
    <row r="51" ht="21.0" customHeight="1">
      <c r="A51" s="6" t="s">
        <v>175</v>
      </c>
      <c r="B51" s="6" t="s">
        <v>176</v>
      </c>
      <c r="C51" s="8">
        <v>46256.87013888889</v>
      </c>
      <c r="D51" s="6" t="s">
        <v>26</v>
      </c>
      <c r="E51" s="9">
        <v>39980.0</v>
      </c>
      <c r="F51" s="6" t="s">
        <v>30</v>
      </c>
    </row>
    <row r="52" ht="21.0" customHeight="1">
      <c r="A52" s="6" t="s">
        <v>178</v>
      </c>
      <c r="B52" s="6" t="s">
        <v>179</v>
      </c>
      <c r="C52" s="8">
        <v>46256.96597222222</v>
      </c>
      <c r="D52" s="6" t="s">
        <v>26</v>
      </c>
      <c r="E52" s="9">
        <v>24990.0</v>
      </c>
      <c r="F52" s="6" t="s">
        <v>30</v>
      </c>
    </row>
    <row r="53" ht="21.0" customHeight="1">
      <c r="A53" s="6" t="s">
        <v>181</v>
      </c>
      <c r="B53" s="6" t="s">
        <v>182</v>
      </c>
      <c r="C53" s="8">
        <v>46257.115277777775</v>
      </c>
      <c r="D53" s="6" t="s">
        <v>26</v>
      </c>
      <c r="E53" s="9">
        <v>12990.0</v>
      </c>
      <c r="F53" s="6" t="s">
        <v>27</v>
      </c>
    </row>
    <row r="54" ht="21.0" customHeight="1">
      <c r="A54" s="6" t="s">
        <v>183</v>
      </c>
      <c r="B54" s="6" t="s">
        <v>184</v>
      </c>
      <c r="C54" s="8">
        <v>46257.27222222222</v>
      </c>
      <c r="D54" s="6" t="s">
        <v>26</v>
      </c>
      <c r="E54" s="9">
        <v>8990.0</v>
      </c>
      <c r="F54" s="6" t="s">
        <v>27</v>
      </c>
    </row>
    <row r="55" ht="21.0" customHeight="1">
      <c r="A55" s="6" t="s">
        <v>186</v>
      </c>
      <c r="B55" s="6" t="s">
        <v>187</v>
      </c>
      <c r="C55" s="8">
        <v>46257.36041666667</v>
      </c>
      <c r="D55" s="6" t="s">
        <v>26</v>
      </c>
      <c r="E55" s="9">
        <v>34990.0</v>
      </c>
      <c r="F55" s="6" t="s">
        <v>30</v>
      </c>
    </row>
    <row r="56" ht="21.0" customHeight="1">
      <c r="A56" s="6" t="s">
        <v>188</v>
      </c>
      <c r="B56" s="6" t="s">
        <v>189</v>
      </c>
      <c r="C56" s="8">
        <v>46257.52916666667</v>
      </c>
      <c r="D56" s="6" t="s">
        <v>26</v>
      </c>
      <c r="E56" s="9">
        <v>19990.0</v>
      </c>
      <c r="F56" s="6" t="s">
        <v>30</v>
      </c>
    </row>
    <row r="57" ht="21.0" customHeight="1">
      <c r="A57" s="6" t="s">
        <v>190</v>
      </c>
      <c r="B57" s="6" t="s">
        <v>191</v>
      </c>
      <c r="C57" s="8">
        <v>46257.61319444444</v>
      </c>
      <c r="D57" s="6" t="s">
        <v>26</v>
      </c>
      <c r="E57" s="9">
        <v>8990.0</v>
      </c>
      <c r="F57" s="6" t="s">
        <v>43</v>
      </c>
    </row>
    <row r="58" ht="21.0" customHeight="1">
      <c r="A58" s="6" t="s">
        <v>193</v>
      </c>
      <c r="B58" s="6" t="s">
        <v>194</v>
      </c>
      <c r="C58" s="8">
        <v>46257.79652777778</v>
      </c>
      <c r="D58" s="6" t="s">
        <v>26</v>
      </c>
      <c r="E58" s="9">
        <v>8990.0</v>
      </c>
      <c r="F58" s="6" t="s">
        <v>27</v>
      </c>
    </row>
    <row r="59" ht="21.0" customHeight="1">
      <c r="A59" s="6" t="s">
        <v>196</v>
      </c>
      <c r="B59" s="6" t="s">
        <v>197</v>
      </c>
      <c r="C59" s="8">
        <v>46257.90694444445</v>
      </c>
      <c r="D59" s="6" t="s">
        <v>26</v>
      </c>
      <c r="E59" s="9">
        <v>19990.0</v>
      </c>
      <c r="F59" s="6" t="s">
        <v>43</v>
      </c>
    </row>
    <row r="60" ht="21.0" customHeight="1">
      <c r="A60" s="6" t="s">
        <v>199</v>
      </c>
      <c r="B60" s="6" t="s">
        <v>200</v>
      </c>
      <c r="C60" s="8">
        <v>46258.021527777775</v>
      </c>
      <c r="D60" s="6" t="s">
        <v>26</v>
      </c>
      <c r="E60" s="9">
        <v>104970.0</v>
      </c>
      <c r="F60" s="6" t="s">
        <v>43</v>
      </c>
    </row>
    <row r="61" ht="21.0" customHeight="1">
      <c r="A61" s="6" t="s">
        <v>202</v>
      </c>
      <c r="B61" s="6" t="s">
        <v>204</v>
      </c>
      <c r="C61" s="8">
        <v>46258.13125</v>
      </c>
      <c r="D61" s="6" t="s">
        <v>26</v>
      </c>
      <c r="E61" s="9">
        <v>24990.0</v>
      </c>
      <c r="F61" s="6" t="s">
        <v>43</v>
      </c>
    </row>
    <row r="62" ht="21.0" customHeight="1">
      <c r="A62" s="6" t="s">
        <v>205</v>
      </c>
      <c r="B62" s="6" t="s">
        <v>206</v>
      </c>
      <c r="C62" s="8">
        <v>46258.26597222222</v>
      </c>
      <c r="D62" s="6" t="s">
        <v>26</v>
      </c>
      <c r="E62" s="9">
        <v>34990.0</v>
      </c>
      <c r="F62" s="6" t="s">
        <v>30</v>
      </c>
    </row>
    <row r="63" ht="21.0" customHeight="1">
      <c r="A63" s="6" t="s">
        <v>208</v>
      </c>
      <c r="B63" s="6" t="s">
        <v>209</v>
      </c>
      <c r="C63" s="8">
        <v>46258.388194444444</v>
      </c>
      <c r="D63" s="6" t="s">
        <v>26</v>
      </c>
      <c r="E63" s="9">
        <v>34990.0</v>
      </c>
      <c r="F63" s="6" t="s">
        <v>30</v>
      </c>
    </row>
    <row r="64" ht="21.0" customHeight="1">
      <c r="A64" s="6" t="s">
        <v>211</v>
      </c>
      <c r="B64" s="6" t="s">
        <v>212</v>
      </c>
      <c r="C64" s="8">
        <v>46258.54027777778</v>
      </c>
      <c r="D64" s="6" t="s">
        <v>26</v>
      </c>
      <c r="E64" s="9">
        <v>104970.0</v>
      </c>
      <c r="F64" s="6" t="s">
        <v>27</v>
      </c>
    </row>
    <row r="65" ht="21.0" customHeight="1">
      <c r="A65" s="6" t="s">
        <v>214</v>
      </c>
      <c r="B65" s="6" t="s">
        <v>215</v>
      </c>
      <c r="C65" s="8">
        <v>46258.7125</v>
      </c>
      <c r="D65" s="6" t="s">
        <v>26</v>
      </c>
      <c r="E65" s="9">
        <v>34990.0</v>
      </c>
      <c r="F65" s="6" t="s">
        <v>43</v>
      </c>
    </row>
    <row r="66" ht="21.0" customHeight="1">
      <c r="A66" s="6" t="s">
        <v>216</v>
      </c>
      <c r="B66" s="6" t="s">
        <v>218</v>
      </c>
      <c r="C66" s="8">
        <v>46258.83472222222</v>
      </c>
      <c r="D66" s="6" t="s">
        <v>26</v>
      </c>
      <c r="E66" s="9">
        <v>15990.0</v>
      </c>
      <c r="F66" s="6" t="s">
        <v>30</v>
      </c>
    </row>
    <row r="67" ht="21.0" customHeight="1">
      <c r="A67" s="6" t="s">
        <v>219</v>
      </c>
      <c r="B67" s="6" t="s">
        <v>220</v>
      </c>
      <c r="C67" s="8">
        <v>46258.95694444444</v>
      </c>
      <c r="D67" s="6" t="s">
        <v>26</v>
      </c>
      <c r="E67" s="9">
        <v>19990.0</v>
      </c>
      <c r="F67" s="6" t="s">
        <v>43</v>
      </c>
    </row>
    <row r="68" ht="21.0" customHeight="1">
      <c r="A68" s="6" t="s">
        <v>222</v>
      </c>
      <c r="B68" s="6" t="s">
        <v>223</v>
      </c>
      <c r="C68" s="8">
        <v>46259.10208333333</v>
      </c>
      <c r="D68" s="6" t="s">
        <v>97</v>
      </c>
      <c r="E68" s="9">
        <v>0.0</v>
      </c>
      <c r="F68" s="6" t="s">
        <v>27</v>
      </c>
    </row>
    <row r="69" ht="21.0" customHeight="1">
      <c r="A69" s="6" t="s">
        <v>225</v>
      </c>
      <c r="B69" s="6" t="s">
        <v>226</v>
      </c>
      <c r="C69" s="8">
        <v>46259.16875</v>
      </c>
      <c r="D69" s="6" t="s">
        <v>26</v>
      </c>
      <c r="E69" s="9">
        <v>69980.0</v>
      </c>
      <c r="F69" s="6" t="s">
        <v>30</v>
      </c>
    </row>
    <row r="70" ht="21.0" customHeight="1">
      <c r="A70" s="6" t="s">
        <v>228</v>
      </c>
      <c r="B70" s="6" t="s">
        <v>229</v>
      </c>
      <c r="C70" s="8">
        <v>46259.35486111111</v>
      </c>
      <c r="D70" s="6" t="s">
        <v>26</v>
      </c>
      <c r="E70" s="9">
        <v>15990.0</v>
      </c>
      <c r="F70" s="6" t="s">
        <v>43</v>
      </c>
    </row>
    <row r="71" ht="21.0" customHeight="1">
      <c r="A71" s="6" t="s">
        <v>230</v>
      </c>
      <c r="B71" s="6" t="s">
        <v>232</v>
      </c>
      <c r="C71" s="8">
        <v>46259.47430555556</v>
      </c>
      <c r="D71" s="6" t="s">
        <v>26</v>
      </c>
      <c r="E71" s="9">
        <v>25980.0</v>
      </c>
      <c r="F71" s="6" t="s">
        <v>30</v>
      </c>
    </row>
    <row r="72" ht="21.0" customHeight="1">
      <c r="A72" s="6" t="s">
        <v>233</v>
      </c>
      <c r="B72" s="6" t="s">
        <v>234</v>
      </c>
      <c r="C72" s="8">
        <v>46259.55</v>
      </c>
      <c r="D72" s="6" t="s">
        <v>26</v>
      </c>
      <c r="E72" s="9">
        <v>19990.0</v>
      </c>
      <c r="F72" s="6" t="s">
        <v>43</v>
      </c>
    </row>
    <row r="73" ht="21.0" customHeight="1">
      <c r="A73" s="6" t="s">
        <v>236</v>
      </c>
      <c r="B73" s="6" t="s">
        <v>237</v>
      </c>
      <c r="C73" s="8">
        <v>46259.67986111111</v>
      </c>
      <c r="D73" s="6" t="s">
        <v>26</v>
      </c>
      <c r="E73" s="9">
        <v>31980.0</v>
      </c>
      <c r="F73" s="6" t="s">
        <v>43</v>
      </c>
    </row>
    <row r="74" ht="21.0" customHeight="1">
      <c r="A74" s="6" t="s">
        <v>239</v>
      </c>
      <c r="B74" s="6" t="s">
        <v>240</v>
      </c>
      <c r="C74" s="8">
        <v>46259.85763888889</v>
      </c>
      <c r="D74" s="6" t="s">
        <v>26</v>
      </c>
      <c r="E74" s="9">
        <v>31980.0</v>
      </c>
      <c r="F74" s="6" t="s">
        <v>43</v>
      </c>
    </row>
    <row r="75" ht="21.0" customHeight="1">
      <c r="A75" s="6" t="s">
        <v>241</v>
      </c>
      <c r="B75" s="6" t="s">
        <v>242</v>
      </c>
      <c r="C75" s="8">
        <v>46260.006944444445</v>
      </c>
      <c r="D75" s="6" t="s">
        <v>26</v>
      </c>
      <c r="E75" s="9">
        <v>15990.0</v>
      </c>
      <c r="F75" s="6" t="s">
        <v>30</v>
      </c>
    </row>
    <row r="76" ht="21.0" customHeight="1">
      <c r="A76" s="6" t="s">
        <v>244</v>
      </c>
      <c r="B76" s="6" t="s">
        <v>245</v>
      </c>
      <c r="C76" s="8">
        <v>46260.07361111111</v>
      </c>
      <c r="D76" s="6" t="s">
        <v>26</v>
      </c>
      <c r="E76" s="9">
        <v>12990.0</v>
      </c>
      <c r="F76" s="6" t="s">
        <v>43</v>
      </c>
    </row>
    <row r="77" ht="21.0" customHeight="1">
      <c r="A77" s="6" t="s">
        <v>247</v>
      </c>
      <c r="B77" s="6" t="s">
        <v>248</v>
      </c>
      <c r="C77" s="8">
        <v>46260.20208333333</v>
      </c>
      <c r="D77" s="6" t="s">
        <v>26</v>
      </c>
      <c r="E77" s="9">
        <v>19990.0</v>
      </c>
      <c r="F77" s="6" t="s">
        <v>43</v>
      </c>
    </row>
    <row r="78" ht="21.0" customHeight="1">
      <c r="A78" s="6" t="s">
        <v>250</v>
      </c>
      <c r="B78" s="6" t="s">
        <v>251</v>
      </c>
      <c r="C78" s="8">
        <v>46260.26388888889</v>
      </c>
      <c r="D78" s="6" t="s">
        <v>26</v>
      </c>
      <c r="E78" s="9">
        <v>19990.0</v>
      </c>
      <c r="F78" s="6" t="s">
        <v>27</v>
      </c>
    </row>
    <row r="79" ht="21.0" customHeight="1">
      <c r="A79" s="6" t="s">
        <v>252</v>
      </c>
      <c r="B79" s="6" t="s">
        <v>253</v>
      </c>
      <c r="C79" s="8">
        <v>46260.48541666667</v>
      </c>
      <c r="D79" s="6" t="s">
        <v>26</v>
      </c>
      <c r="E79" s="9">
        <v>19990.0</v>
      </c>
      <c r="F79" s="6" t="s">
        <v>43</v>
      </c>
    </row>
    <row r="80" ht="21.0" customHeight="1">
      <c r="A80" s="6" t="s">
        <v>255</v>
      </c>
      <c r="B80" s="6" t="s">
        <v>256</v>
      </c>
      <c r="C80" s="8">
        <v>46260.59097222222</v>
      </c>
      <c r="D80" s="6" t="s">
        <v>26</v>
      </c>
      <c r="E80" s="9">
        <v>24990.0</v>
      </c>
      <c r="F80" s="6" t="s">
        <v>27</v>
      </c>
    </row>
    <row r="81" ht="21.0" customHeight="1">
      <c r="A81" s="6" t="s">
        <v>258</v>
      </c>
      <c r="B81" s="6" t="s">
        <v>259</v>
      </c>
      <c r="C81" s="8">
        <v>46260.74791666667</v>
      </c>
      <c r="D81" s="6" t="s">
        <v>26</v>
      </c>
      <c r="E81" s="9">
        <v>8990.0</v>
      </c>
      <c r="F81" s="6" t="s">
        <v>30</v>
      </c>
    </row>
    <row r="82" ht="21.0" customHeight="1">
      <c r="A82" s="6" t="s">
        <v>261</v>
      </c>
      <c r="B82" s="6" t="s">
        <v>262</v>
      </c>
      <c r="C82" s="8">
        <v>46260.90138888889</v>
      </c>
      <c r="D82" s="6" t="s">
        <v>26</v>
      </c>
      <c r="E82" s="9">
        <v>17980.0</v>
      </c>
      <c r="F82" s="6" t="s">
        <v>30</v>
      </c>
    </row>
    <row r="83" ht="21.0" customHeight="1">
      <c r="A83" s="6" t="s">
        <v>263</v>
      </c>
      <c r="B83" s="6" t="s">
        <v>264</v>
      </c>
      <c r="C83" s="8">
        <v>46260.978472222225</v>
      </c>
      <c r="D83" s="6" t="s">
        <v>26</v>
      </c>
      <c r="E83" s="9">
        <v>19990.0</v>
      </c>
      <c r="F83" s="6" t="s">
        <v>27</v>
      </c>
    </row>
    <row r="84" ht="21.0" customHeight="1">
      <c r="A84" s="6" t="s">
        <v>266</v>
      </c>
      <c r="B84" s="6" t="s">
        <v>267</v>
      </c>
      <c r="C84" s="8">
        <v>46261.118055555555</v>
      </c>
      <c r="D84" s="6" t="s">
        <v>26</v>
      </c>
      <c r="E84" s="9">
        <v>31980.0</v>
      </c>
      <c r="F84" s="6" t="s">
        <v>30</v>
      </c>
    </row>
    <row r="85" ht="21.0" customHeight="1">
      <c r="A85" s="6" t="s">
        <v>269</v>
      </c>
      <c r="B85" s="6" t="s">
        <v>270</v>
      </c>
      <c r="C85" s="8">
        <v>46261.251388888886</v>
      </c>
      <c r="D85" s="6" t="s">
        <v>26</v>
      </c>
      <c r="E85" s="9">
        <v>24990.0</v>
      </c>
      <c r="F85" s="6" t="s">
        <v>27</v>
      </c>
    </row>
    <row r="86" ht="21.0" customHeight="1">
      <c r="A86" s="6" t="s">
        <v>272</v>
      </c>
      <c r="B86" s="6" t="s">
        <v>273</v>
      </c>
      <c r="C86" s="8">
        <v>46261.39444444444</v>
      </c>
      <c r="D86" s="6" t="s">
        <v>26</v>
      </c>
      <c r="E86" s="9">
        <v>12990.0</v>
      </c>
      <c r="F86" s="6" t="s">
        <v>30</v>
      </c>
    </row>
    <row r="87" ht="21.0" customHeight="1">
      <c r="A87" s="6" t="s">
        <v>274</v>
      </c>
      <c r="B87" s="6" t="s">
        <v>275</v>
      </c>
      <c r="C87" s="8">
        <v>46261.532638888886</v>
      </c>
      <c r="D87" s="6" t="s">
        <v>26</v>
      </c>
      <c r="E87" s="9">
        <v>39980.0</v>
      </c>
      <c r="F87" s="6" t="s">
        <v>43</v>
      </c>
    </row>
    <row r="88" ht="21.0" customHeight="1">
      <c r="A88" s="6" t="s">
        <v>277</v>
      </c>
      <c r="B88" s="6" t="s">
        <v>278</v>
      </c>
      <c r="C88" s="8">
        <v>46261.63958333333</v>
      </c>
      <c r="D88" s="6" t="s">
        <v>26</v>
      </c>
      <c r="E88" s="9">
        <v>19990.0</v>
      </c>
      <c r="F88" s="6" t="s">
        <v>43</v>
      </c>
    </row>
    <row r="89" ht="21.0" customHeight="1">
      <c r="A89" s="6" t="s">
        <v>280</v>
      </c>
      <c r="B89" s="6" t="s">
        <v>281</v>
      </c>
      <c r="C89" s="8">
        <v>46261.77222222222</v>
      </c>
      <c r="D89" s="6" t="s">
        <v>26</v>
      </c>
      <c r="E89" s="9">
        <v>12990.0</v>
      </c>
      <c r="F89" s="6" t="s">
        <v>43</v>
      </c>
    </row>
    <row r="90" ht="21.0" customHeight="1">
      <c r="A90" s="6" t="s">
        <v>283</v>
      </c>
      <c r="B90" s="6" t="s">
        <v>284</v>
      </c>
      <c r="C90" s="8">
        <v>46261.92291666667</v>
      </c>
      <c r="D90" s="6" t="s">
        <v>26</v>
      </c>
      <c r="E90" s="9">
        <v>12990.0</v>
      </c>
      <c r="F90" s="6" t="s">
        <v>43</v>
      </c>
    </row>
    <row r="91" ht="21.0" customHeight="1">
      <c r="A91" s="6" t="s">
        <v>285</v>
      </c>
      <c r="B91" s="6" t="s">
        <v>286</v>
      </c>
      <c r="C91" s="8">
        <v>46262.05347222222</v>
      </c>
      <c r="D91" s="6" t="s">
        <v>26</v>
      </c>
      <c r="E91" s="9">
        <v>39980.0</v>
      </c>
      <c r="F91" s="6" t="s">
        <v>43</v>
      </c>
    </row>
    <row r="92" ht="21.0" customHeight="1">
      <c r="A92" s="6" t="s">
        <v>288</v>
      </c>
      <c r="B92" s="6" t="s">
        <v>289</v>
      </c>
      <c r="C92" s="8">
        <v>46262.15694444445</v>
      </c>
      <c r="D92" s="6" t="s">
        <v>26</v>
      </c>
      <c r="E92" s="9">
        <v>24990.0</v>
      </c>
      <c r="F92" s="6" t="s">
        <v>43</v>
      </c>
    </row>
    <row r="93" ht="21.0" customHeight="1">
      <c r="A93" s="6" t="s">
        <v>291</v>
      </c>
      <c r="B93" s="6" t="s">
        <v>292</v>
      </c>
      <c r="C93" s="8">
        <v>46262.26875</v>
      </c>
      <c r="D93" s="6" t="s">
        <v>26</v>
      </c>
      <c r="E93" s="9">
        <v>12990.0</v>
      </c>
      <c r="F93" s="6" t="s">
        <v>30</v>
      </c>
    </row>
    <row r="94" ht="21.0" customHeight="1">
      <c r="A94" s="6" t="s">
        <v>293</v>
      </c>
      <c r="B94" s="6" t="s">
        <v>295</v>
      </c>
      <c r="C94" s="8">
        <v>46262.419444444444</v>
      </c>
      <c r="D94" s="6" t="s">
        <v>26</v>
      </c>
      <c r="E94" s="9">
        <v>12990.0</v>
      </c>
      <c r="F94" s="6" t="s">
        <v>30</v>
      </c>
    </row>
    <row r="95" ht="21.0" customHeight="1">
      <c r="A95" s="6" t="s">
        <v>296</v>
      </c>
      <c r="B95" s="6" t="s">
        <v>297</v>
      </c>
      <c r="C95" s="8">
        <v>46262.525</v>
      </c>
      <c r="D95" s="6" t="s">
        <v>26</v>
      </c>
      <c r="E95" s="9">
        <v>8990.0</v>
      </c>
      <c r="F95" s="6" t="s">
        <v>30</v>
      </c>
    </row>
    <row r="96" ht="21.0" customHeight="1">
      <c r="A96" s="6" t="s">
        <v>299</v>
      </c>
      <c r="B96" s="6" t="s">
        <v>300</v>
      </c>
      <c r="C96" s="8">
        <v>46262.675</v>
      </c>
      <c r="D96" s="6" t="s">
        <v>26</v>
      </c>
      <c r="E96" s="9">
        <v>19990.0</v>
      </c>
      <c r="F96" s="6" t="s">
        <v>43</v>
      </c>
    </row>
    <row r="97" ht="21.0" customHeight="1">
      <c r="A97" s="6" t="s">
        <v>302</v>
      </c>
      <c r="B97" s="6" t="s">
        <v>303</v>
      </c>
      <c r="C97" s="8">
        <v>46262.82430555556</v>
      </c>
      <c r="D97" s="6" t="s">
        <v>26</v>
      </c>
      <c r="E97" s="9">
        <v>34990.0</v>
      </c>
      <c r="F97" s="6" t="s">
        <v>43</v>
      </c>
    </row>
    <row r="98" ht="21.0" customHeight="1">
      <c r="A98" s="6" t="s">
        <v>304</v>
      </c>
      <c r="B98" s="6" t="s">
        <v>305</v>
      </c>
      <c r="C98" s="8">
        <v>46262.92569444444</v>
      </c>
      <c r="D98" s="6" t="s">
        <v>26</v>
      </c>
      <c r="E98" s="9">
        <v>24990.0</v>
      </c>
      <c r="F98" s="6" t="s">
        <v>27</v>
      </c>
    </row>
    <row r="99" ht="21.0" customHeight="1">
      <c r="A99" s="6" t="s">
        <v>307</v>
      </c>
      <c r="B99" s="6" t="s">
        <v>308</v>
      </c>
      <c r="C99" s="8">
        <v>46263.104166666664</v>
      </c>
      <c r="D99" s="6" t="s">
        <v>26</v>
      </c>
      <c r="E99" s="9">
        <v>34990.0</v>
      </c>
      <c r="F99" s="6" t="s">
        <v>30</v>
      </c>
    </row>
    <row r="100" ht="21.0" customHeight="1">
      <c r="A100" s="6" t="s">
        <v>310</v>
      </c>
      <c r="B100" s="6" t="s">
        <v>311</v>
      </c>
      <c r="C100" s="8">
        <v>46263.10277777778</v>
      </c>
      <c r="D100" s="6" t="s">
        <v>26</v>
      </c>
      <c r="E100" s="9">
        <v>34990.0</v>
      </c>
      <c r="F100" s="6" t="s">
        <v>43</v>
      </c>
    </row>
    <row r="101" ht="21.0" customHeight="1">
      <c r="A101" s="6" t="s">
        <v>312</v>
      </c>
      <c r="B101" s="6" t="s">
        <v>313</v>
      </c>
      <c r="C101" s="8">
        <v>46263.34027777778</v>
      </c>
      <c r="D101" s="6" t="s">
        <v>26</v>
      </c>
      <c r="E101" s="9">
        <v>15990.0</v>
      </c>
      <c r="F101" s="6" t="s">
        <v>43</v>
      </c>
    </row>
    <row r="102" ht="21.0" customHeight="1">
      <c r="A102" s="6" t="s">
        <v>315</v>
      </c>
      <c r="B102" s="6" t="s">
        <v>316</v>
      </c>
      <c r="C102" s="8">
        <v>46263.4875</v>
      </c>
      <c r="D102" s="6" t="s">
        <v>26</v>
      </c>
      <c r="E102" s="9">
        <v>59970.0</v>
      </c>
      <c r="F102" s="6" t="s">
        <v>30</v>
      </c>
    </row>
    <row r="103" ht="21.0" customHeight="1">
      <c r="A103" s="6" t="s">
        <v>318</v>
      </c>
      <c r="B103" s="6" t="s">
        <v>319</v>
      </c>
      <c r="C103" s="8">
        <v>46263.56527777778</v>
      </c>
      <c r="D103" s="6" t="s">
        <v>26</v>
      </c>
      <c r="E103" s="9">
        <v>8990.0</v>
      </c>
      <c r="F103" s="6" t="s">
        <v>43</v>
      </c>
    </row>
    <row r="104" ht="21.0" customHeight="1">
      <c r="A104" s="6" t="s">
        <v>321</v>
      </c>
      <c r="B104" s="6" t="s">
        <v>322</v>
      </c>
      <c r="C104" s="8">
        <v>46263.74513888889</v>
      </c>
      <c r="D104" s="6" t="s">
        <v>26</v>
      </c>
      <c r="E104" s="9">
        <v>7000.0</v>
      </c>
      <c r="F104" s="6" t="s">
        <v>43</v>
      </c>
    </row>
    <row r="105" ht="21.0" customHeight="1">
      <c r="A105" s="6" t="s">
        <v>323</v>
      </c>
      <c r="B105" s="6" t="s">
        <v>325</v>
      </c>
      <c r="C105" s="8">
        <v>46263.82986111111</v>
      </c>
      <c r="D105" s="6" t="s">
        <v>26</v>
      </c>
      <c r="E105" s="9">
        <v>8990.0</v>
      </c>
      <c r="F105" s="6" t="s">
        <v>43</v>
      </c>
    </row>
    <row r="106" ht="21.0" customHeight="1">
      <c r="A106" s="6" t="s">
        <v>326</v>
      </c>
      <c r="B106" s="6" t="s">
        <v>327</v>
      </c>
      <c r="C106" s="8">
        <v>46263.95347222222</v>
      </c>
      <c r="D106" s="6" t="s">
        <v>26</v>
      </c>
      <c r="E106" s="9">
        <v>24990.0</v>
      </c>
      <c r="F106" s="6" t="s">
        <v>30</v>
      </c>
    </row>
    <row r="107" ht="21.0" customHeight="1">
      <c r="A107" s="6" t="s">
        <v>328</v>
      </c>
      <c r="B107" s="6" t="s">
        <v>330</v>
      </c>
      <c r="C107" s="8">
        <v>46264.07777777778</v>
      </c>
      <c r="D107" s="6" t="s">
        <v>26</v>
      </c>
      <c r="E107" s="9">
        <v>15990.0</v>
      </c>
      <c r="F107" s="6" t="s">
        <v>27</v>
      </c>
    </row>
    <row r="108" ht="21.0" customHeight="1">
      <c r="A108" s="6" t="s">
        <v>331</v>
      </c>
      <c r="B108" s="6" t="s">
        <v>332</v>
      </c>
      <c r="C108" s="8">
        <v>46264.256944444445</v>
      </c>
      <c r="D108" s="6" t="s">
        <v>26</v>
      </c>
      <c r="E108" s="9">
        <v>31980.0</v>
      </c>
      <c r="F108" s="6" t="s">
        <v>27</v>
      </c>
    </row>
    <row r="109" ht="21.0" customHeight="1">
      <c r="A109" s="6" t="s">
        <v>334</v>
      </c>
      <c r="B109" s="6" t="s">
        <v>335</v>
      </c>
      <c r="C109" s="8">
        <v>46264.339583333334</v>
      </c>
      <c r="D109" s="6" t="s">
        <v>26</v>
      </c>
      <c r="E109" s="9">
        <v>15990.0</v>
      </c>
      <c r="F109" s="6" t="s">
        <v>27</v>
      </c>
    </row>
    <row r="110" ht="21.0" customHeight="1">
      <c r="A110" s="6" t="s">
        <v>337</v>
      </c>
      <c r="B110" s="6" t="s">
        <v>338</v>
      </c>
      <c r="C110" s="8">
        <v>46264.49791666667</v>
      </c>
      <c r="D110" s="6" t="s">
        <v>97</v>
      </c>
      <c r="E110" s="9">
        <v>0.0</v>
      </c>
      <c r="F110" s="6" t="s">
        <v>43</v>
      </c>
    </row>
    <row r="111" ht="21.0" customHeight="1">
      <c r="A111" s="6" t="s">
        <v>340</v>
      </c>
      <c r="B111" s="6" t="s">
        <v>341</v>
      </c>
      <c r="C111" s="8">
        <v>46264.65625</v>
      </c>
      <c r="D111" s="6" t="s">
        <v>26</v>
      </c>
      <c r="E111" s="9">
        <v>39980.0</v>
      </c>
      <c r="F111" s="6" t="s">
        <v>30</v>
      </c>
    </row>
    <row r="112" ht="21.0" customHeight="1">
      <c r="A112" s="6" t="s">
        <v>342</v>
      </c>
      <c r="B112" s="6" t="s">
        <v>343</v>
      </c>
      <c r="C112" s="8">
        <v>46264.74930555555</v>
      </c>
      <c r="D112" s="6" t="s">
        <v>26</v>
      </c>
      <c r="E112" s="9">
        <v>8990.0</v>
      </c>
      <c r="F112" s="6" t="s">
        <v>30</v>
      </c>
    </row>
    <row r="113" ht="21.0" customHeight="1">
      <c r="A113" s="6" t="s">
        <v>345</v>
      </c>
      <c r="B113" s="6" t="s">
        <v>346</v>
      </c>
      <c r="C113" s="8">
        <v>46264.87152777778</v>
      </c>
      <c r="D113" s="6" t="s">
        <v>26</v>
      </c>
      <c r="E113" s="9">
        <v>17980.0</v>
      </c>
      <c r="F113" s="6" t="s">
        <v>43</v>
      </c>
    </row>
    <row r="114" ht="21.0" customHeight="1">
      <c r="A114" s="6" t="s">
        <v>347</v>
      </c>
      <c r="B114" s="6" t="s">
        <v>348</v>
      </c>
      <c r="C114" s="8">
        <v>46265.009722222225</v>
      </c>
      <c r="D114" s="6" t="s">
        <v>26</v>
      </c>
      <c r="E114" s="9">
        <v>24990.0</v>
      </c>
      <c r="F114" s="6" t="s">
        <v>43</v>
      </c>
    </row>
    <row r="115" ht="21.0" customHeight="1">
      <c r="A115" s="6" t="s">
        <v>350</v>
      </c>
      <c r="B115" s="6" t="s">
        <v>351</v>
      </c>
      <c r="C115" s="8">
        <v>46265.175</v>
      </c>
      <c r="D115" s="6" t="s">
        <v>26</v>
      </c>
      <c r="E115" s="9">
        <v>8990.0</v>
      </c>
      <c r="F115" s="6" t="s">
        <v>27</v>
      </c>
    </row>
    <row r="116" ht="21.0" customHeight="1">
      <c r="A116" s="6" t="s">
        <v>353</v>
      </c>
      <c r="B116" s="6" t="s">
        <v>354</v>
      </c>
      <c r="C116" s="8">
        <v>46265.291666666664</v>
      </c>
      <c r="D116" s="6" t="s">
        <v>26</v>
      </c>
      <c r="E116" s="9">
        <v>8990.0</v>
      </c>
      <c r="F116" s="6" t="s">
        <v>43</v>
      </c>
    </row>
    <row r="117" ht="21.0" customHeight="1">
      <c r="A117" s="6" t="s">
        <v>355</v>
      </c>
      <c r="B117" s="6" t="s">
        <v>357</v>
      </c>
      <c r="C117" s="8">
        <v>46265.399305555555</v>
      </c>
      <c r="D117" s="6" t="s">
        <v>26</v>
      </c>
      <c r="E117" s="9">
        <v>69980.0</v>
      </c>
      <c r="F117" s="6" t="s">
        <v>27</v>
      </c>
    </row>
    <row r="118" ht="21.0" customHeight="1">
      <c r="A118" s="6" t="s">
        <v>358</v>
      </c>
      <c r="B118" s="6" t="s">
        <v>359</v>
      </c>
      <c r="C118" s="8">
        <v>46265.53888888889</v>
      </c>
      <c r="D118" s="6" t="s">
        <v>26</v>
      </c>
      <c r="E118" s="9">
        <v>34990.0</v>
      </c>
      <c r="F118" s="6" t="s">
        <v>43</v>
      </c>
    </row>
    <row r="119" ht="21.0" customHeight="1">
      <c r="A119" s="6" t="s">
        <v>361</v>
      </c>
      <c r="B119" s="6" t="s">
        <v>362</v>
      </c>
      <c r="C119" s="8">
        <v>46265.62847222222</v>
      </c>
      <c r="D119" s="6" t="s">
        <v>26</v>
      </c>
      <c r="E119" s="9">
        <v>34990.0</v>
      </c>
      <c r="F119" s="6" t="s">
        <v>30</v>
      </c>
    </row>
    <row r="120" ht="21.0" customHeight="1">
      <c r="A120" s="6" t="s">
        <v>364</v>
      </c>
      <c r="B120" s="6" t="s">
        <v>365</v>
      </c>
      <c r="C120" s="8">
        <v>46265.79375</v>
      </c>
      <c r="D120" s="6" t="s">
        <v>26</v>
      </c>
      <c r="E120" s="9">
        <v>49980.0</v>
      </c>
      <c r="F120" s="6" t="s">
        <v>43</v>
      </c>
    </row>
    <row r="121" ht="21.0" customHeight="1">
      <c r="A121" s="6" t="s">
        <v>366</v>
      </c>
      <c r="B121" s="6" t="s">
        <v>368</v>
      </c>
      <c r="C121" s="8">
        <v>46265.95</v>
      </c>
      <c r="D121" s="6" t="s">
        <v>26</v>
      </c>
      <c r="E121" s="9">
        <v>34990.0</v>
      </c>
      <c r="F121" s="6" t="s">
        <v>30</v>
      </c>
    </row>
    <row r="122" ht="21.0" customHeight="1">
      <c r="A122" s="6" t="s">
        <v>369</v>
      </c>
      <c r="B122" s="6" t="s">
        <v>370</v>
      </c>
      <c r="C122" s="8">
        <v>46266.066666666666</v>
      </c>
      <c r="D122" s="6" t="s">
        <v>26</v>
      </c>
      <c r="E122" s="9">
        <v>24990.0</v>
      </c>
      <c r="F122" s="6" t="s">
        <v>30</v>
      </c>
    </row>
    <row r="123" ht="21.0" customHeight="1">
      <c r="A123" s="6" t="s">
        <v>372</v>
      </c>
      <c r="B123" s="6" t="s">
        <v>373</v>
      </c>
      <c r="C123" s="8">
        <v>46266.16527777778</v>
      </c>
      <c r="D123" s="6" t="s">
        <v>26</v>
      </c>
      <c r="E123" s="9">
        <v>47970.0</v>
      </c>
      <c r="F123" s="6" t="s">
        <v>30</v>
      </c>
    </row>
    <row r="124" ht="21.0" customHeight="1">
      <c r="A124" s="6" t="s">
        <v>375</v>
      </c>
      <c r="B124" s="6" t="s">
        <v>376</v>
      </c>
      <c r="C124" s="8">
        <v>46266.302777777775</v>
      </c>
      <c r="D124" s="6" t="s">
        <v>26</v>
      </c>
      <c r="E124" s="9">
        <v>34990.0</v>
      </c>
      <c r="F124" s="6" t="s">
        <v>43</v>
      </c>
    </row>
    <row r="125" ht="21.0" customHeight="1">
      <c r="A125" s="6" t="s">
        <v>378</v>
      </c>
      <c r="B125" s="6" t="s">
        <v>379</v>
      </c>
      <c r="C125" s="8">
        <v>46266.441666666666</v>
      </c>
      <c r="D125" s="6" t="s">
        <v>26</v>
      </c>
      <c r="E125" s="9">
        <v>15990.0</v>
      </c>
      <c r="F125" s="6" t="s">
        <v>43</v>
      </c>
    </row>
    <row r="126" ht="21.0" customHeight="1">
      <c r="A126" s="6" t="s">
        <v>380</v>
      </c>
      <c r="B126" s="6" t="s">
        <v>382</v>
      </c>
      <c r="C126" s="8">
        <v>46266.53125</v>
      </c>
      <c r="D126" s="6" t="s">
        <v>26</v>
      </c>
      <c r="E126" s="9">
        <v>39980.0</v>
      </c>
      <c r="F126" s="6" t="s">
        <v>30</v>
      </c>
    </row>
    <row r="127" ht="21.0" customHeight="1">
      <c r="A127" s="6" t="s">
        <v>383</v>
      </c>
      <c r="B127" s="6" t="s">
        <v>384</v>
      </c>
      <c r="C127" s="8">
        <v>46266.69583333333</v>
      </c>
      <c r="D127" s="6" t="s">
        <v>26</v>
      </c>
      <c r="E127" s="9">
        <v>19990.0</v>
      </c>
      <c r="F127" s="6" t="s">
        <v>30</v>
      </c>
    </row>
    <row r="128" ht="21.0" customHeight="1">
      <c r="A128" s="6" t="s">
        <v>386</v>
      </c>
      <c r="B128" s="6" t="s">
        <v>387</v>
      </c>
      <c r="C128" s="8">
        <v>46266.81597222222</v>
      </c>
      <c r="D128" s="6" t="s">
        <v>26</v>
      </c>
      <c r="E128" s="9">
        <v>15990.0</v>
      </c>
      <c r="F128" s="6" t="s">
        <v>43</v>
      </c>
    </row>
    <row r="129" ht="21.0" customHeight="1">
      <c r="A129" s="6" t="s">
        <v>389</v>
      </c>
      <c r="B129" s="6" t="s">
        <v>390</v>
      </c>
      <c r="C129" s="8">
        <v>46266.97222222222</v>
      </c>
      <c r="D129" s="6" t="s">
        <v>26</v>
      </c>
      <c r="E129" s="9">
        <v>69980.0</v>
      </c>
      <c r="F129" s="6" t="s">
        <v>30</v>
      </c>
    </row>
    <row r="130" ht="21.0" customHeight="1">
      <c r="A130" s="6" t="s">
        <v>391</v>
      </c>
      <c r="B130" s="6" t="s">
        <v>393</v>
      </c>
      <c r="C130" s="8">
        <v>46267.05</v>
      </c>
      <c r="D130" s="6" t="s">
        <v>26</v>
      </c>
      <c r="E130" s="9">
        <v>34990.0</v>
      </c>
      <c r="F130" s="6" t="s">
        <v>30</v>
      </c>
    </row>
    <row r="131" ht="21.0" customHeight="1">
      <c r="A131" s="6" t="s">
        <v>394</v>
      </c>
      <c r="B131" s="6" t="s">
        <v>395</v>
      </c>
      <c r="C131" s="8">
        <v>46267.10625</v>
      </c>
      <c r="D131" s="6" t="s">
        <v>26</v>
      </c>
      <c r="E131" s="9">
        <v>34990.0</v>
      </c>
      <c r="F131" s="6" t="s">
        <v>30</v>
      </c>
    </row>
    <row r="132" ht="21.0" customHeight="1">
      <c r="A132" s="6" t="s">
        <v>397</v>
      </c>
      <c r="B132" s="6" t="s">
        <v>398</v>
      </c>
      <c r="C132" s="8">
        <v>46267.365277777775</v>
      </c>
      <c r="D132" s="6" t="s">
        <v>26</v>
      </c>
      <c r="E132" s="9">
        <v>15990.0</v>
      </c>
      <c r="F132" s="6" t="s">
        <v>30</v>
      </c>
    </row>
    <row r="133" ht="21.0" customHeight="1">
      <c r="A133" s="6" t="s">
        <v>400</v>
      </c>
      <c r="B133" s="6" t="s">
        <v>401</v>
      </c>
      <c r="C133" s="8">
        <v>46267.49791666667</v>
      </c>
      <c r="D133" s="6" t="s">
        <v>26</v>
      </c>
      <c r="E133" s="9">
        <v>8990.0</v>
      </c>
      <c r="F133" s="6" t="s">
        <v>27</v>
      </c>
    </row>
    <row r="134" ht="21.0" customHeight="1">
      <c r="A134" s="6" t="s">
        <v>403</v>
      </c>
      <c r="B134" s="6" t="s">
        <v>404</v>
      </c>
      <c r="C134" s="8">
        <v>46267.59097222222</v>
      </c>
      <c r="D134" s="6" t="s">
        <v>26</v>
      </c>
      <c r="E134" s="9">
        <v>24990.0</v>
      </c>
      <c r="F134" s="6" t="s">
        <v>27</v>
      </c>
    </row>
    <row r="135" ht="21.0" customHeight="1">
      <c r="A135" s="6" t="s">
        <v>405</v>
      </c>
      <c r="B135" s="6" t="s">
        <v>406</v>
      </c>
      <c r="C135" s="8">
        <v>46267.74166666667</v>
      </c>
      <c r="D135" s="6" t="s">
        <v>26</v>
      </c>
      <c r="E135" s="9">
        <v>12990.0</v>
      </c>
      <c r="F135" s="6" t="s">
        <v>43</v>
      </c>
    </row>
    <row r="136" ht="21.0" customHeight="1">
      <c r="A136" s="6" t="s">
        <v>407</v>
      </c>
      <c r="B136" s="6" t="s">
        <v>408</v>
      </c>
      <c r="C136" s="8">
        <v>46267.888194444444</v>
      </c>
      <c r="D136" s="6" t="s">
        <v>26</v>
      </c>
      <c r="E136" s="9">
        <v>42990.0</v>
      </c>
      <c r="F136" s="6" t="s">
        <v>30</v>
      </c>
    </row>
    <row r="137" ht="21.0" customHeight="1">
      <c r="A137" s="6" t="s">
        <v>410</v>
      </c>
      <c r="B137" s="6" t="s">
        <v>411</v>
      </c>
      <c r="C137" s="8">
        <v>46267.94513888889</v>
      </c>
      <c r="D137" s="6" t="s">
        <v>26</v>
      </c>
      <c r="E137" s="9">
        <v>25980.0</v>
      </c>
      <c r="F137" s="6" t="s">
        <v>43</v>
      </c>
    </row>
    <row r="138" ht="21.0" customHeight="1">
      <c r="A138" s="6" t="s">
        <v>412</v>
      </c>
      <c r="B138" s="6" t="s">
        <v>414</v>
      </c>
      <c r="C138" s="8">
        <v>46268.106944444444</v>
      </c>
      <c r="D138" s="6" t="s">
        <v>26</v>
      </c>
      <c r="E138" s="9">
        <v>12990.0</v>
      </c>
      <c r="F138" s="6" t="s">
        <v>43</v>
      </c>
    </row>
    <row r="139" ht="21.0" customHeight="1">
      <c r="A139" s="6" t="s">
        <v>415</v>
      </c>
      <c r="B139" s="6" t="s">
        <v>416</v>
      </c>
      <c r="C139" s="8">
        <v>46268.25763888889</v>
      </c>
      <c r="D139" s="6" t="s">
        <v>26</v>
      </c>
      <c r="E139" s="9">
        <v>49980.0</v>
      </c>
      <c r="F139" s="6" t="s">
        <v>43</v>
      </c>
    </row>
    <row r="140" ht="21.0" customHeight="1">
      <c r="A140" s="6" t="s">
        <v>418</v>
      </c>
      <c r="B140" s="6" t="s">
        <v>419</v>
      </c>
      <c r="C140" s="8">
        <v>46268.396527777775</v>
      </c>
      <c r="D140" s="6" t="s">
        <v>26</v>
      </c>
      <c r="E140" s="9">
        <v>12990.0</v>
      </c>
      <c r="F140" s="6" t="s">
        <v>27</v>
      </c>
    </row>
    <row r="141" ht="21.0" customHeight="1">
      <c r="A141" s="6" t="s">
        <v>421</v>
      </c>
      <c r="B141" s="6" t="s">
        <v>422</v>
      </c>
      <c r="C141" s="8">
        <v>46268.47638888889</v>
      </c>
      <c r="D141" s="6" t="s">
        <v>26</v>
      </c>
      <c r="E141" s="9">
        <v>34990.0</v>
      </c>
      <c r="F141" s="6" t="s">
        <v>30</v>
      </c>
    </row>
    <row r="142" ht="21.0" customHeight="1">
      <c r="A142" s="6" t="s">
        <v>424</v>
      </c>
      <c r="B142" s="6" t="s">
        <v>426</v>
      </c>
      <c r="C142" s="8">
        <v>46268.63055555556</v>
      </c>
      <c r="D142" s="6" t="s">
        <v>26</v>
      </c>
      <c r="E142" s="9">
        <v>19990.0</v>
      </c>
      <c r="F142" s="6" t="s">
        <v>43</v>
      </c>
    </row>
    <row r="143" ht="21.0" customHeight="1">
      <c r="A143" s="6" t="s">
        <v>427</v>
      </c>
      <c r="B143" s="6" t="s">
        <v>428</v>
      </c>
      <c r="C143" s="8">
        <v>46268.75625</v>
      </c>
      <c r="D143" s="6" t="s">
        <v>125</v>
      </c>
      <c r="E143" s="9">
        <v>0.0</v>
      </c>
      <c r="F143" s="6" t="s">
        <v>30</v>
      </c>
    </row>
    <row r="144" ht="21.0" customHeight="1">
      <c r="A144" s="6" t="s">
        <v>430</v>
      </c>
      <c r="B144" s="6" t="s">
        <v>431</v>
      </c>
      <c r="C144" s="8">
        <v>46268.87291666667</v>
      </c>
      <c r="D144" s="6" t="s">
        <v>26</v>
      </c>
      <c r="E144" s="9">
        <v>12990.0</v>
      </c>
      <c r="F144" s="6" t="s">
        <v>30</v>
      </c>
    </row>
    <row r="145" ht="21.0" customHeight="1">
      <c r="A145" s="6" t="s">
        <v>433</v>
      </c>
      <c r="B145" s="6" t="s">
        <v>434</v>
      </c>
      <c r="C145" s="8">
        <v>46269.004166666666</v>
      </c>
      <c r="D145" s="6" t="s">
        <v>26</v>
      </c>
      <c r="E145" s="9">
        <v>12990.0</v>
      </c>
      <c r="F145" s="6" t="s">
        <v>43</v>
      </c>
    </row>
    <row r="146" ht="21.0" customHeight="1">
      <c r="A146" s="6" t="s">
        <v>436</v>
      </c>
      <c r="B146" s="6" t="s">
        <v>438</v>
      </c>
      <c r="C146" s="8">
        <v>46269.15902777778</v>
      </c>
      <c r="D146" s="6" t="s">
        <v>26</v>
      </c>
      <c r="E146" s="9">
        <v>8990.0</v>
      </c>
      <c r="F146" s="6" t="s">
        <v>30</v>
      </c>
    </row>
    <row r="147" ht="21.0" customHeight="1">
      <c r="A147" s="6" t="s">
        <v>439</v>
      </c>
      <c r="B147" s="6" t="s">
        <v>440</v>
      </c>
      <c r="C147" s="8">
        <v>46269.285416666666</v>
      </c>
      <c r="D147" s="6" t="s">
        <v>26</v>
      </c>
      <c r="E147" s="9">
        <v>49980.0</v>
      </c>
      <c r="F147" s="6" t="s">
        <v>43</v>
      </c>
    </row>
    <row r="148" ht="21.0" customHeight="1">
      <c r="A148" s="6" t="s">
        <v>442</v>
      </c>
      <c r="B148" s="6" t="s">
        <v>443</v>
      </c>
      <c r="C148" s="8">
        <v>46269.368055555555</v>
      </c>
      <c r="D148" s="6" t="s">
        <v>26</v>
      </c>
      <c r="E148" s="9">
        <v>15990.0</v>
      </c>
      <c r="F148" s="6" t="s">
        <v>30</v>
      </c>
    </row>
    <row r="149" ht="21.0" customHeight="1">
      <c r="A149" s="6" t="s">
        <v>445</v>
      </c>
      <c r="B149" s="6" t="s">
        <v>446</v>
      </c>
      <c r="C149" s="8">
        <v>46269.55416666667</v>
      </c>
      <c r="D149" s="6" t="s">
        <v>26</v>
      </c>
      <c r="E149" s="9">
        <v>34990.0</v>
      </c>
      <c r="F149" s="6" t="s">
        <v>43</v>
      </c>
    </row>
    <row r="150" ht="21.0" customHeight="1">
      <c r="A150" s="6" t="s">
        <v>447</v>
      </c>
      <c r="B150" s="6" t="s">
        <v>448</v>
      </c>
      <c r="C150" s="8">
        <v>46269.65902777778</v>
      </c>
      <c r="D150" s="6" t="s">
        <v>26</v>
      </c>
      <c r="E150" s="9">
        <v>19990.0</v>
      </c>
      <c r="F150" s="6" t="s">
        <v>27</v>
      </c>
    </row>
    <row r="151" ht="21.0" customHeight="1">
      <c r="A151" s="6" t="s">
        <v>450</v>
      </c>
      <c r="B151" s="6" t="s">
        <v>451</v>
      </c>
      <c r="C151" s="8">
        <v>46269.82638888889</v>
      </c>
      <c r="D151" s="6" t="s">
        <v>26</v>
      </c>
      <c r="E151" s="9">
        <v>12990.0</v>
      </c>
      <c r="F151" s="6" t="s">
        <v>30</v>
      </c>
    </row>
    <row r="152" ht="21.0" customHeight="1">
      <c r="A152" s="6" t="s">
        <v>454</v>
      </c>
      <c r="B152" s="6" t="s">
        <v>456</v>
      </c>
      <c r="C152" s="8">
        <v>46269.93680555555</v>
      </c>
      <c r="D152" s="6" t="s">
        <v>26</v>
      </c>
      <c r="E152" s="9">
        <v>17980.0</v>
      </c>
      <c r="F152" s="6" t="s">
        <v>43</v>
      </c>
    </row>
    <row r="153" ht="21.0" customHeight="1">
      <c r="A153" s="6" t="s">
        <v>459</v>
      </c>
      <c r="B153" s="6" t="s">
        <v>461</v>
      </c>
      <c r="C153" s="8">
        <v>46270.04791666667</v>
      </c>
      <c r="D153" s="6" t="s">
        <v>26</v>
      </c>
      <c r="E153" s="9">
        <v>34990.0</v>
      </c>
      <c r="F153" s="6" t="s">
        <v>43</v>
      </c>
    </row>
    <row r="154" ht="21.0" customHeight="1">
      <c r="A154" s="6" t="s">
        <v>463</v>
      </c>
      <c r="B154" s="6" t="s">
        <v>464</v>
      </c>
      <c r="C154" s="8">
        <v>46270.20763888889</v>
      </c>
      <c r="D154" s="6" t="s">
        <v>26</v>
      </c>
      <c r="E154" s="9">
        <v>34990.0</v>
      </c>
      <c r="F154" s="6" t="s">
        <v>27</v>
      </c>
    </row>
    <row r="155" ht="21.0" customHeight="1">
      <c r="A155" s="6" t="s">
        <v>466</v>
      </c>
      <c r="B155" s="6" t="s">
        <v>467</v>
      </c>
      <c r="C155" s="8">
        <v>46270.28333333333</v>
      </c>
      <c r="D155" s="6" t="s">
        <v>97</v>
      </c>
      <c r="E155" s="9">
        <v>0.0</v>
      </c>
      <c r="F155" s="6" t="s">
        <v>43</v>
      </c>
    </row>
    <row r="156" ht="21.0" customHeight="1">
      <c r="A156" s="6" t="s">
        <v>469</v>
      </c>
      <c r="B156" s="6" t="s">
        <v>470</v>
      </c>
      <c r="C156" s="8">
        <v>46270.40625</v>
      </c>
      <c r="D156" s="6" t="s">
        <v>26</v>
      </c>
      <c r="E156" s="9">
        <v>15990.0</v>
      </c>
      <c r="F156" s="6" t="s">
        <v>43</v>
      </c>
    </row>
    <row r="157" ht="21.0" customHeight="1">
      <c r="A157" s="6" t="s">
        <v>472</v>
      </c>
      <c r="B157" s="6" t="s">
        <v>473</v>
      </c>
      <c r="C157" s="8">
        <v>46270.55763888889</v>
      </c>
      <c r="D157" s="6" t="s">
        <v>26</v>
      </c>
      <c r="E157" s="9">
        <v>19990.0</v>
      </c>
      <c r="F157" s="6" t="s">
        <v>27</v>
      </c>
    </row>
    <row r="158" ht="21.0" customHeight="1">
      <c r="A158" s="6" t="s">
        <v>474</v>
      </c>
      <c r="B158" s="6" t="s">
        <v>475</v>
      </c>
      <c r="C158" s="8">
        <v>46270.65972222222</v>
      </c>
      <c r="D158" s="6" t="s">
        <v>26</v>
      </c>
      <c r="E158" s="9">
        <v>15990.0</v>
      </c>
      <c r="F158" s="6" t="s">
        <v>43</v>
      </c>
    </row>
    <row r="159" ht="21.0" customHeight="1">
      <c r="A159" s="6" t="s">
        <v>477</v>
      </c>
      <c r="B159" s="6" t="s">
        <v>478</v>
      </c>
      <c r="C159" s="8">
        <v>46270.82916666667</v>
      </c>
      <c r="D159" s="6" t="s">
        <v>26</v>
      </c>
      <c r="E159" s="9">
        <v>31980.0</v>
      </c>
      <c r="F159" s="6" t="s">
        <v>27</v>
      </c>
    </row>
    <row r="160" ht="21.0" customHeight="1">
      <c r="A160" s="6" t="s">
        <v>480</v>
      </c>
      <c r="B160" s="6" t="s">
        <v>481</v>
      </c>
      <c r="C160" s="8">
        <v>46270.925</v>
      </c>
      <c r="D160" s="6" t="s">
        <v>26</v>
      </c>
      <c r="E160" s="9">
        <v>24990.0</v>
      </c>
      <c r="F160" s="6" t="s">
        <v>27</v>
      </c>
    </row>
    <row r="161" ht="21.0" customHeight="1">
      <c r="A161" s="6" t="s">
        <v>482</v>
      </c>
      <c r="B161" s="6" t="s">
        <v>483</v>
      </c>
      <c r="C161" s="8">
        <v>46271.08541666667</v>
      </c>
      <c r="D161" s="6" t="s">
        <v>26</v>
      </c>
      <c r="E161" s="9">
        <v>19990.0</v>
      </c>
      <c r="F161" s="6" t="s">
        <v>30</v>
      </c>
    </row>
    <row r="162" ht="21.0" customHeight="1">
      <c r="A162" s="6" t="s">
        <v>486</v>
      </c>
      <c r="B162" s="6" t="s">
        <v>487</v>
      </c>
      <c r="C162" s="8">
        <v>46271.22430555556</v>
      </c>
      <c r="D162" s="6" t="s">
        <v>26</v>
      </c>
      <c r="E162" s="9">
        <v>34990.0</v>
      </c>
      <c r="F162" s="6" t="s">
        <v>27</v>
      </c>
    </row>
    <row r="163" ht="21.0" customHeight="1">
      <c r="A163" s="6" t="s">
        <v>489</v>
      </c>
      <c r="B163" s="6" t="s">
        <v>490</v>
      </c>
      <c r="C163" s="8">
        <v>46271.31805555556</v>
      </c>
      <c r="D163" s="6" t="s">
        <v>26</v>
      </c>
      <c r="E163" s="9">
        <v>15990.0</v>
      </c>
      <c r="F163" s="6" t="s">
        <v>30</v>
      </c>
    </row>
    <row r="164" ht="21.0" customHeight="1">
      <c r="A164" s="6" t="s">
        <v>492</v>
      </c>
      <c r="B164" s="6" t="s">
        <v>493</v>
      </c>
      <c r="C164" s="8">
        <v>46271.44861111111</v>
      </c>
      <c r="D164" s="6" t="s">
        <v>26</v>
      </c>
      <c r="E164" s="9">
        <v>12990.0</v>
      </c>
      <c r="F164" s="6" t="s">
        <v>30</v>
      </c>
    </row>
    <row r="165" ht="21.0" customHeight="1">
      <c r="A165" s="6" t="s">
        <v>495</v>
      </c>
      <c r="B165" s="6" t="s">
        <v>496</v>
      </c>
      <c r="C165" s="8">
        <v>46271.61319444444</v>
      </c>
      <c r="D165" s="6" t="s">
        <v>26</v>
      </c>
      <c r="E165" s="9">
        <v>34990.0</v>
      </c>
      <c r="F165" s="6" t="s">
        <v>27</v>
      </c>
    </row>
    <row r="166" ht="21.0" customHeight="1">
      <c r="A166" s="6" t="s">
        <v>498</v>
      </c>
      <c r="B166" s="6" t="s">
        <v>499</v>
      </c>
      <c r="C166" s="8">
        <v>46271.58611111111</v>
      </c>
      <c r="D166" s="6" t="s">
        <v>26</v>
      </c>
      <c r="E166" s="9">
        <v>34990.0</v>
      </c>
      <c r="F166" s="6" t="s">
        <v>43</v>
      </c>
    </row>
    <row r="167" ht="21.0" customHeight="1">
      <c r="A167" s="6" t="s">
        <v>501</v>
      </c>
      <c r="B167" s="6" t="s">
        <v>502</v>
      </c>
      <c r="C167" s="8">
        <v>46271.82013888889</v>
      </c>
      <c r="D167" s="6" t="s">
        <v>26</v>
      </c>
      <c r="E167" s="9">
        <v>24990.0</v>
      </c>
      <c r="F167" s="6" t="s">
        <v>43</v>
      </c>
    </row>
    <row r="168" ht="21.0" customHeight="1">
      <c r="A168" s="6" t="s">
        <v>503</v>
      </c>
      <c r="B168" s="6" t="s">
        <v>504</v>
      </c>
      <c r="C168" s="8">
        <v>46272.001388888886</v>
      </c>
      <c r="D168" s="6" t="s">
        <v>26</v>
      </c>
      <c r="E168" s="9">
        <v>28000.0</v>
      </c>
      <c r="F168" s="6" t="s">
        <v>43</v>
      </c>
    </row>
    <row r="169" ht="21.0" customHeight="1">
      <c r="A169" s="6" t="s">
        <v>505</v>
      </c>
      <c r="B169" s="6" t="s">
        <v>506</v>
      </c>
      <c r="C169" s="8">
        <v>46272.13333333333</v>
      </c>
      <c r="D169" s="6" t="s">
        <v>26</v>
      </c>
      <c r="E169" s="9">
        <v>34990.0</v>
      </c>
      <c r="F169" s="6" t="s">
        <v>27</v>
      </c>
    </row>
    <row r="170" ht="21.0" customHeight="1">
      <c r="A170" s="6" t="s">
        <v>507</v>
      </c>
      <c r="B170" s="6" t="s">
        <v>508</v>
      </c>
      <c r="C170" s="8">
        <v>46272.25486111111</v>
      </c>
      <c r="D170" s="6" t="s">
        <v>26</v>
      </c>
      <c r="E170" s="9">
        <v>8990.0</v>
      </c>
      <c r="F170" s="6" t="s">
        <v>43</v>
      </c>
    </row>
    <row r="171" ht="21.0" customHeight="1">
      <c r="A171" s="6" t="s">
        <v>509</v>
      </c>
      <c r="B171" s="6" t="s">
        <v>510</v>
      </c>
      <c r="C171" s="8">
        <v>46272.35625</v>
      </c>
      <c r="D171" s="6" t="s">
        <v>26</v>
      </c>
      <c r="E171" s="9">
        <v>69980.0</v>
      </c>
      <c r="F171" s="6" t="s">
        <v>27</v>
      </c>
    </row>
    <row r="172" ht="21.0" customHeight="1">
      <c r="A172" s="6" t="s">
        <v>511</v>
      </c>
      <c r="B172" s="6" t="s">
        <v>512</v>
      </c>
      <c r="C172" s="8">
        <v>46272.49722222222</v>
      </c>
      <c r="D172" s="6" t="s">
        <v>26</v>
      </c>
      <c r="E172" s="9">
        <v>39980.0</v>
      </c>
      <c r="F172" s="6" t="s">
        <v>27</v>
      </c>
    </row>
    <row r="173" ht="21.0" customHeight="1">
      <c r="A173" s="6" t="s">
        <v>514</v>
      </c>
      <c r="B173" s="6" t="s">
        <v>515</v>
      </c>
      <c r="C173" s="8">
        <v>46272.629166666666</v>
      </c>
      <c r="D173" s="6" t="s">
        <v>26</v>
      </c>
      <c r="E173" s="9">
        <v>8990.0</v>
      </c>
      <c r="F173" s="6" t="s">
        <v>43</v>
      </c>
    </row>
    <row r="174" ht="21.0" customHeight="1">
      <c r="A174" s="6" t="s">
        <v>516</v>
      </c>
      <c r="B174" s="6" t="s">
        <v>517</v>
      </c>
      <c r="C174" s="8">
        <v>46272.76944444444</v>
      </c>
      <c r="D174" s="6" t="s">
        <v>26</v>
      </c>
      <c r="E174" s="9">
        <v>12990.0</v>
      </c>
      <c r="F174" s="6" t="s">
        <v>43</v>
      </c>
    </row>
    <row r="175" ht="21.0" customHeight="1">
      <c r="A175" s="6" t="s">
        <v>518</v>
      </c>
      <c r="B175" s="6" t="s">
        <v>519</v>
      </c>
      <c r="C175" s="8">
        <v>46272.86041666667</v>
      </c>
      <c r="D175" s="6" t="s">
        <v>26</v>
      </c>
      <c r="E175" s="9">
        <v>34990.0</v>
      </c>
      <c r="F175" s="6" t="s">
        <v>30</v>
      </c>
    </row>
    <row r="176" ht="21.0" customHeight="1">
      <c r="A176" s="6" t="s">
        <v>520</v>
      </c>
      <c r="B176" s="6" t="s">
        <v>521</v>
      </c>
      <c r="C176" s="8">
        <v>46273.03402777778</v>
      </c>
      <c r="D176" s="6" t="s">
        <v>26</v>
      </c>
      <c r="E176" s="9">
        <v>34990.0</v>
      </c>
      <c r="F176" s="6" t="s">
        <v>43</v>
      </c>
    </row>
    <row r="177" ht="21.0" customHeight="1">
      <c r="A177" s="6" t="s">
        <v>523</v>
      </c>
      <c r="B177" s="6" t="s">
        <v>525</v>
      </c>
      <c r="C177" s="8">
        <v>46273.14791666667</v>
      </c>
      <c r="D177" s="6" t="s">
        <v>26</v>
      </c>
      <c r="E177" s="9">
        <v>34990.0</v>
      </c>
      <c r="F177" s="6" t="s">
        <v>43</v>
      </c>
    </row>
    <row r="178" ht="21.0" customHeight="1">
      <c r="A178" s="6" t="s">
        <v>526</v>
      </c>
      <c r="B178" s="6" t="s">
        <v>527</v>
      </c>
      <c r="C178" s="8">
        <v>46273.3125</v>
      </c>
      <c r="D178" s="6" t="s">
        <v>26</v>
      </c>
      <c r="E178" s="9">
        <v>8990.0</v>
      </c>
      <c r="F178" s="6" t="s">
        <v>30</v>
      </c>
    </row>
    <row r="179" ht="21.0" customHeight="1">
      <c r="A179" s="6" t="s">
        <v>529</v>
      </c>
      <c r="B179" s="6" t="s">
        <v>531</v>
      </c>
      <c r="C179" s="8">
        <v>46273.416666666664</v>
      </c>
      <c r="D179" s="6" t="s">
        <v>26</v>
      </c>
      <c r="E179" s="9">
        <v>15990.0</v>
      </c>
      <c r="F179" s="6" t="s">
        <v>27</v>
      </c>
    </row>
    <row r="180" ht="21.0" customHeight="1">
      <c r="A180" s="6" t="s">
        <v>535</v>
      </c>
      <c r="B180" s="6" t="s">
        <v>536</v>
      </c>
      <c r="C180" s="8">
        <v>46273.50763888889</v>
      </c>
      <c r="D180" s="6" t="s">
        <v>26</v>
      </c>
      <c r="E180" s="9">
        <v>69980.0</v>
      </c>
      <c r="F180" s="6" t="s">
        <v>27</v>
      </c>
    </row>
    <row r="181" ht="21.0" customHeight="1">
      <c r="A181" s="6" t="s">
        <v>538</v>
      </c>
      <c r="B181" s="6" t="s">
        <v>539</v>
      </c>
      <c r="C181" s="8">
        <v>46273.649305555555</v>
      </c>
      <c r="D181" s="6" t="s">
        <v>26</v>
      </c>
      <c r="E181" s="9">
        <v>31980.0</v>
      </c>
      <c r="F181" s="6" t="s">
        <v>43</v>
      </c>
    </row>
    <row r="182" ht="21.0" customHeight="1">
      <c r="A182" s="6" t="s">
        <v>541</v>
      </c>
      <c r="B182" s="6" t="s">
        <v>542</v>
      </c>
      <c r="C182" s="8">
        <v>46273.822222222225</v>
      </c>
      <c r="D182" s="6" t="s">
        <v>26</v>
      </c>
      <c r="E182" s="9">
        <v>8990.0</v>
      </c>
      <c r="F182" s="6" t="s">
        <v>30</v>
      </c>
    </row>
    <row r="183" ht="21.0" customHeight="1">
      <c r="A183" s="6" t="s">
        <v>543</v>
      </c>
      <c r="B183" s="6" t="s">
        <v>544</v>
      </c>
      <c r="C183" s="8">
        <v>46273.95416666667</v>
      </c>
      <c r="D183" s="6" t="s">
        <v>26</v>
      </c>
      <c r="E183" s="9">
        <v>24990.0</v>
      </c>
      <c r="F183" s="6" t="s">
        <v>27</v>
      </c>
    </row>
    <row r="184" ht="21.0" customHeight="1">
      <c r="A184" s="6" t="s">
        <v>546</v>
      </c>
      <c r="B184" s="6" t="s">
        <v>547</v>
      </c>
      <c r="C184" s="8">
        <v>46274.035416666666</v>
      </c>
      <c r="D184" s="6" t="s">
        <v>26</v>
      </c>
      <c r="E184" s="9">
        <v>38970.0</v>
      </c>
      <c r="F184" s="6" t="s">
        <v>30</v>
      </c>
    </row>
    <row r="185" ht="21.0" customHeight="1">
      <c r="A185" s="6" t="s">
        <v>548</v>
      </c>
      <c r="B185" s="6" t="s">
        <v>549</v>
      </c>
      <c r="C185" s="8">
        <v>46274.20625</v>
      </c>
      <c r="D185" s="6" t="s">
        <v>26</v>
      </c>
      <c r="E185" s="9">
        <v>34990.0</v>
      </c>
      <c r="F185" s="6" t="s">
        <v>30</v>
      </c>
    </row>
    <row r="186" ht="21.0" customHeight="1">
      <c r="A186" s="6" t="s">
        <v>551</v>
      </c>
      <c r="B186" s="6" t="s">
        <v>552</v>
      </c>
      <c r="C186" s="8">
        <v>46274.33194444444</v>
      </c>
      <c r="D186" s="6" t="s">
        <v>26</v>
      </c>
      <c r="E186" s="9">
        <v>49980.0</v>
      </c>
      <c r="F186" s="6" t="s">
        <v>27</v>
      </c>
    </row>
    <row r="187" ht="21.0" customHeight="1">
      <c r="A187" s="6" t="s">
        <v>554</v>
      </c>
      <c r="B187" s="6" t="s">
        <v>555</v>
      </c>
      <c r="C187" s="8">
        <v>46274.4125</v>
      </c>
      <c r="D187" s="6" t="s">
        <v>26</v>
      </c>
      <c r="E187" s="9">
        <v>34990.0</v>
      </c>
      <c r="F187" s="6" t="s">
        <v>43</v>
      </c>
    </row>
    <row r="188" ht="21.0" customHeight="1">
      <c r="A188" s="6" t="s">
        <v>556</v>
      </c>
      <c r="B188" s="6" t="s">
        <v>557</v>
      </c>
      <c r="C188" s="8">
        <v>46274.53402777778</v>
      </c>
      <c r="D188" s="6" t="s">
        <v>26</v>
      </c>
      <c r="E188" s="9">
        <v>69980.0</v>
      </c>
      <c r="F188" s="6" t="s">
        <v>27</v>
      </c>
    </row>
    <row r="189" ht="21.0" customHeight="1">
      <c r="A189" s="6" t="s">
        <v>559</v>
      </c>
      <c r="B189" s="6" t="s">
        <v>560</v>
      </c>
      <c r="C189" s="8">
        <v>46274.71666666667</v>
      </c>
      <c r="D189" s="6" t="s">
        <v>26</v>
      </c>
      <c r="E189" s="9">
        <v>38970.0</v>
      </c>
      <c r="F189" s="6" t="s">
        <v>43</v>
      </c>
    </row>
    <row r="190" ht="21.0" customHeight="1">
      <c r="A190" s="6" t="s">
        <v>561</v>
      </c>
      <c r="B190" s="6" t="s">
        <v>562</v>
      </c>
      <c r="C190" s="8">
        <v>46274.80347222222</v>
      </c>
      <c r="D190" s="6" t="s">
        <v>26</v>
      </c>
      <c r="E190" s="9">
        <v>15990.0</v>
      </c>
      <c r="F190" s="6" t="s">
        <v>27</v>
      </c>
    </row>
    <row r="191" ht="21.0" customHeight="1">
      <c r="A191" s="6" t="s">
        <v>564</v>
      </c>
      <c r="B191" s="6" t="s">
        <v>565</v>
      </c>
      <c r="C191" s="8">
        <v>46274.938888888886</v>
      </c>
      <c r="D191" s="6" t="s">
        <v>26</v>
      </c>
      <c r="E191" s="9">
        <v>34990.0</v>
      </c>
      <c r="F191" s="6" t="s">
        <v>30</v>
      </c>
    </row>
    <row r="192" ht="21.0" customHeight="1">
      <c r="A192" s="6" t="s">
        <v>566</v>
      </c>
      <c r="B192" s="6" t="s">
        <v>567</v>
      </c>
      <c r="C192" s="8">
        <v>46275.052777777775</v>
      </c>
      <c r="D192" s="6" t="s">
        <v>26</v>
      </c>
      <c r="E192" s="9">
        <v>31980.0</v>
      </c>
      <c r="F192" s="6" t="s">
        <v>43</v>
      </c>
    </row>
    <row r="193" ht="21.0" customHeight="1">
      <c r="A193" s="6" t="s">
        <v>568</v>
      </c>
      <c r="B193" s="6" t="s">
        <v>570</v>
      </c>
      <c r="C193" s="8">
        <v>46275.22152777778</v>
      </c>
      <c r="D193" s="6" t="s">
        <v>26</v>
      </c>
      <c r="E193" s="9">
        <v>74970.0</v>
      </c>
      <c r="F193" s="6" t="s">
        <v>27</v>
      </c>
    </row>
    <row r="194" ht="21.0" customHeight="1">
      <c r="A194" s="6" t="s">
        <v>571</v>
      </c>
      <c r="B194" s="6" t="s">
        <v>572</v>
      </c>
      <c r="C194" s="8">
        <v>46275.36319444444</v>
      </c>
      <c r="D194" s="6" t="s">
        <v>26</v>
      </c>
      <c r="E194" s="9">
        <v>24990.0</v>
      </c>
      <c r="F194" s="6" t="s">
        <v>30</v>
      </c>
    </row>
    <row r="195" ht="21.0" customHeight="1">
      <c r="A195" s="6" t="s">
        <v>573</v>
      </c>
      <c r="B195" s="6" t="s">
        <v>575</v>
      </c>
      <c r="C195" s="8">
        <v>46275.46666666667</v>
      </c>
      <c r="D195" s="6" t="s">
        <v>26</v>
      </c>
      <c r="E195" s="9">
        <v>24990.0</v>
      </c>
      <c r="F195" s="6" t="s">
        <v>27</v>
      </c>
    </row>
    <row r="196" ht="21.0" customHeight="1">
      <c r="A196" s="6" t="s">
        <v>576</v>
      </c>
      <c r="B196" s="6" t="s">
        <v>578</v>
      </c>
      <c r="C196" s="8">
        <v>46275.61111111111</v>
      </c>
      <c r="D196" s="6" t="s">
        <v>26</v>
      </c>
      <c r="E196" s="9">
        <v>49980.0</v>
      </c>
      <c r="F196" s="6" t="s">
        <v>30</v>
      </c>
    </row>
    <row r="197" ht="21.0" customHeight="1">
      <c r="A197" s="6" t="s">
        <v>579</v>
      </c>
      <c r="B197" s="6" t="s">
        <v>582</v>
      </c>
      <c r="C197" s="8">
        <v>46275.70694444444</v>
      </c>
      <c r="D197" s="6" t="s">
        <v>26</v>
      </c>
      <c r="E197" s="9">
        <v>26980.0</v>
      </c>
      <c r="F197" s="6" t="s">
        <v>43</v>
      </c>
    </row>
    <row r="198" ht="21.0" customHeight="1">
      <c r="A198" s="6" t="s">
        <v>584</v>
      </c>
      <c r="B198" s="6" t="s">
        <v>585</v>
      </c>
      <c r="C198" s="8">
        <v>46275.84583333333</v>
      </c>
      <c r="D198" s="6" t="s">
        <v>26</v>
      </c>
      <c r="E198" s="9">
        <v>47970.0</v>
      </c>
      <c r="F198" s="6" t="s">
        <v>30</v>
      </c>
    </row>
    <row r="199" ht="21.0" customHeight="1">
      <c r="A199" s="6" t="s">
        <v>589</v>
      </c>
      <c r="B199" s="6" t="s">
        <v>590</v>
      </c>
      <c r="C199" s="8">
        <v>46275.95694444444</v>
      </c>
      <c r="D199" s="6" t="s">
        <v>26</v>
      </c>
      <c r="E199" s="9">
        <v>15990.0</v>
      </c>
      <c r="F199" s="6" t="s">
        <v>27</v>
      </c>
    </row>
    <row r="200" ht="21.0" customHeight="1">
      <c r="A200" s="6" t="s">
        <v>594</v>
      </c>
      <c r="B200" s="6" t="s">
        <v>595</v>
      </c>
      <c r="C200" s="8">
        <v>46276.15555555555</v>
      </c>
      <c r="D200" s="6" t="s">
        <v>26</v>
      </c>
      <c r="E200" s="9">
        <v>24990.0</v>
      </c>
      <c r="F200" s="6" t="s">
        <v>27</v>
      </c>
    </row>
    <row r="201" ht="21.0" customHeight="1">
      <c r="A201" s="6" t="s">
        <v>598</v>
      </c>
      <c r="B201" s="6" t="s">
        <v>599</v>
      </c>
      <c r="C201" s="8">
        <v>46276.143055555556</v>
      </c>
      <c r="D201" s="6" t="s">
        <v>26</v>
      </c>
      <c r="E201" s="9">
        <v>24990.0</v>
      </c>
      <c r="F201" s="6" t="s">
        <v>43</v>
      </c>
    </row>
    <row r="202" ht="21.0" customHeight="1">
      <c r="A202" s="6" t="s">
        <v>602</v>
      </c>
      <c r="B202" s="6" t="s">
        <v>603</v>
      </c>
      <c r="C202" s="8">
        <v>46276.34097222222</v>
      </c>
      <c r="D202" s="6" t="s">
        <v>26</v>
      </c>
      <c r="E202" s="9">
        <v>8990.0</v>
      </c>
      <c r="F202" s="6" t="s">
        <v>30</v>
      </c>
    </row>
    <row r="203" ht="21.0" customHeight="1">
      <c r="A203" s="6" t="s">
        <v>604</v>
      </c>
      <c r="B203" s="6" t="s">
        <v>605</v>
      </c>
      <c r="C203" s="8">
        <v>46276.50625</v>
      </c>
      <c r="D203" s="6" t="s">
        <v>97</v>
      </c>
      <c r="E203" s="9">
        <v>0.0</v>
      </c>
      <c r="F203" s="6" t="s">
        <v>43</v>
      </c>
    </row>
    <row r="204" ht="21.0" customHeight="1">
      <c r="A204" s="6" t="s">
        <v>607</v>
      </c>
      <c r="B204" s="6" t="s">
        <v>608</v>
      </c>
      <c r="C204" s="8">
        <v>46276.600694444445</v>
      </c>
      <c r="D204" s="6" t="s">
        <v>26</v>
      </c>
      <c r="E204" s="9">
        <v>24990.0</v>
      </c>
      <c r="F204" s="6" t="s">
        <v>43</v>
      </c>
    </row>
    <row r="205" ht="21.0" customHeight="1">
      <c r="A205" s="6" t="s">
        <v>609</v>
      </c>
      <c r="B205" s="6" t="s">
        <v>610</v>
      </c>
      <c r="C205" s="8">
        <v>46276.75347222222</v>
      </c>
      <c r="D205" s="6" t="s">
        <v>26</v>
      </c>
      <c r="E205" s="9">
        <v>24990.0</v>
      </c>
      <c r="F205" s="6" t="s">
        <v>30</v>
      </c>
    </row>
    <row r="206" ht="21.0" customHeight="1">
      <c r="A206" s="6" t="s">
        <v>612</v>
      </c>
      <c r="B206" s="6" t="s">
        <v>613</v>
      </c>
      <c r="C206" s="8">
        <v>46276.92638888889</v>
      </c>
      <c r="D206" s="6" t="s">
        <v>26</v>
      </c>
      <c r="E206" s="9">
        <v>24990.0</v>
      </c>
      <c r="F206" s="6" t="s">
        <v>30</v>
      </c>
    </row>
    <row r="207" ht="21.0" customHeight="1">
      <c r="A207" s="6" t="s">
        <v>614</v>
      </c>
      <c r="B207" s="6" t="s">
        <v>615</v>
      </c>
      <c r="C207" s="8">
        <v>46277.01388888889</v>
      </c>
      <c r="D207" s="6" t="s">
        <v>26</v>
      </c>
      <c r="E207" s="9">
        <v>19990.0</v>
      </c>
      <c r="F207" s="6" t="s">
        <v>27</v>
      </c>
    </row>
    <row r="208" ht="21.0" customHeight="1">
      <c r="A208" s="6" t="s">
        <v>617</v>
      </c>
      <c r="B208" s="6" t="s">
        <v>618</v>
      </c>
      <c r="C208" s="8">
        <v>46277.12013888889</v>
      </c>
      <c r="D208" s="6" t="s">
        <v>26</v>
      </c>
      <c r="E208" s="9">
        <v>12990.0</v>
      </c>
      <c r="F208" s="6" t="s">
        <v>43</v>
      </c>
    </row>
    <row r="209" ht="21.0" customHeight="1">
      <c r="A209" s="6" t="s">
        <v>619</v>
      </c>
      <c r="B209" s="6" t="s">
        <v>620</v>
      </c>
      <c r="C209" s="8">
        <v>46277.285416666666</v>
      </c>
      <c r="D209" s="6" t="s">
        <v>26</v>
      </c>
      <c r="E209" s="9">
        <v>19990.0</v>
      </c>
      <c r="F209" s="6" t="s">
        <v>30</v>
      </c>
    </row>
    <row r="210" ht="21.0" customHeight="1">
      <c r="A210" s="6" t="s">
        <v>621</v>
      </c>
      <c r="B210" s="6" t="s">
        <v>623</v>
      </c>
      <c r="C210" s="8">
        <v>46277.416666666664</v>
      </c>
      <c r="D210" s="6" t="s">
        <v>26</v>
      </c>
      <c r="E210" s="9">
        <v>17980.0</v>
      </c>
      <c r="F210" s="6" t="s">
        <v>27</v>
      </c>
    </row>
    <row r="211" ht="21.0" customHeight="1">
      <c r="A211" s="6" t="s">
        <v>624</v>
      </c>
      <c r="B211" s="6" t="s">
        <v>625</v>
      </c>
      <c r="C211" s="8">
        <v>46277.53958333333</v>
      </c>
      <c r="D211" s="6" t="s">
        <v>26</v>
      </c>
      <c r="E211" s="9">
        <v>17980.0</v>
      </c>
      <c r="F211" s="6" t="s">
        <v>30</v>
      </c>
    </row>
    <row r="212" ht="21.0" customHeight="1">
      <c r="A212" s="6" t="s">
        <v>627</v>
      </c>
      <c r="B212" s="6" t="s">
        <v>628</v>
      </c>
      <c r="C212" s="8">
        <v>46277.635416666664</v>
      </c>
      <c r="D212" s="6" t="s">
        <v>26</v>
      </c>
      <c r="E212" s="9">
        <v>34990.0</v>
      </c>
      <c r="F212" s="6" t="s">
        <v>30</v>
      </c>
    </row>
    <row r="213" ht="21.0" customHeight="1">
      <c r="A213" s="6" t="s">
        <v>629</v>
      </c>
      <c r="B213" s="6" t="s">
        <v>630</v>
      </c>
      <c r="C213" s="8">
        <v>46277.79861111111</v>
      </c>
      <c r="D213" s="6" t="s">
        <v>26</v>
      </c>
      <c r="E213" s="9">
        <v>34990.0</v>
      </c>
      <c r="F213" s="6" t="s">
        <v>27</v>
      </c>
    </row>
    <row r="214" ht="21.0" customHeight="1">
      <c r="A214" s="6" t="s">
        <v>632</v>
      </c>
      <c r="B214" s="6" t="s">
        <v>633</v>
      </c>
      <c r="C214" s="8">
        <v>46277.93680555555</v>
      </c>
      <c r="D214" s="6" t="s">
        <v>26</v>
      </c>
      <c r="E214" s="9">
        <v>15990.0</v>
      </c>
      <c r="F214" s="6" t="s">
        <v>30</v>
      </c>
    </row>
    <row r="215" ht="21.0" customHeight="1">
      <c r="A215" s="6" t="s">
        <v>634</v>
      </c>
      <c r="B215" s="6" t="s">
        <v>635</v>
      </c>
      <c r="C215" s="8">
        <v>46278.080555555556</v>
      </c>
      <c r="D215" s="6" t="s">
        <v>26</v>
      </c>
      <c r="E215" s="9">
        <v>7000.0</v>
      </c>
      <c r="F215" s="6" t="s">
        <v>30</v>
      </c>
    </row>
    <row r="216" ht="21.0" customHeight="1">
      <c r="A216" s="6" t="s">
        <v>637</v>
      </c>
      <c r="B216" s="6" t="s">
        <v>638</v>
      </c>
      <c r="C216" s="8">
        <v>46278.2125</v>
      </c>
      <c r="D216" s="6" t="s">
        <v>26</v>
      </c>
      <c r="E216" s="9">
        <v>34990.0</v>
      </c>
      <c r="F216" s="6" t="s">
        <v>27</v>
      </c>
    </row>
    <row r="217" ht="21.0" customHeight="1">
      <c r="A217" s="6" t="s">
        <v>639</v>
      </c>
      <c r="B217" s="6" t="s">
        <v>640</v>
      </c>
      <c r="C217" s="8">
        <v>46278.31041666667</v>
      </c>
      <c r="D217" s="6" t="s">
        <v>26</v>
      </c>
      <c r="E217" s="9">
        <v>31980.0</v>
      </c>
      <c r="F217" s="6" t="s">
        <v>43</v>
      </c>
    </row>
    <row r="218" ht="21.0" customHeight="1">
      <c r="A218" s="6" t="s">
        <v>642</v>
      </c>
      <c r="B218" s="6" t="s">
        <v>643</v>
      </c>
      <c r="C218" s="8">
        <v>46278.44652777778</v>
      </c>
      <c r="D218" s="6" t="s">
        <v>26</v>
      </c>
      <c r="E218" s="9">
        <v>19990.0</v>
      </c>
      <c r="F218" s="6" t="s">
        <v>43</v>
      </c>
    </row>
    <row r="219" ht="21.0" customHeight="1">
      <c r="A219" s="6" t="s">
        <v>644</v>
      </c>
      <c r="B219" s="6" t="s">
        <v>645</v>
      </c>
      <c r="C219" s="8">
        <v>46278.555555555555</v>
      </c>
      <c r="D219" s="6" t="s">
        <v>26</v>
      </c>
      <c r="E219" s="9">
        <v>31980.0</v>
      </c>
      <c r="F219" s="6" t="s">
        <v>27</v>
      </c>
    </row>
    <row r="220" ht="21.0" customHeight="1">
      <c r="A220" s="6" t="s">
        <v>647</v>
      </c>
      <c r="B220" s="6" t="s">
        <v>648</v>
      </c>
      <c r="C220" s="8">
        <v>46278.677777777775</v>
      </c>
      <c r="D220" s="6" t="s">
        <v>26</v>
      </c>
      <c r="E220" s="9">
        <v>34990.0</v>
      </c>
      <c r="F220" s="6" t="s">
        <v>30</v>
      </c>
    </row>
    <row r="221" ht="21.0" customHeight="1">
      <c r="A221" s="6" t="s">
        <v>650</v>
      </c>
      <c r="B221" s="6" t="s">
        <v>651</v>
      </c>
      <c r="C221" s="8">
        <v>46278.825694444444</v>
      </c>
      <c r="D221" s="6" t="s">
        <v>26</v>
      </c>
      <c r="E221" s="9">
        <v>12990.0</v>
      </c>
      <c r="F221" s="6" t="s">
        <v>27</v>
      </c>
    </row>
    <row r="222" ht="21.0" customHeight="1">
      <c r="A222" s="6" t="s">
        <v>652</v>
      </c>
      <c r="B222" s="6" t="s">
        <v>653</v>
      </c>
      <c r="C222" s="8">
        <v>46278.93194444444</v>
      </c>
      <c r="D222" s="6" t="s">
        <v>26</v>
      </c>
      <c r="E222" s="9">
        <v>15990.0</v>
      </c>
      <c r="F222" s="6" t="s">
        <v>43</v>
      </c>
    </row>
    <row r="223" ht="21.0" customHeight="1">
      <c r="A223" s="6" t="s">
        <v>655</v>
      </c>
      <c r="B223" s="6" t="s">
        <v>656</v>
      </c>
      <c r="C223" s="8">
        <v>46279.12013888889</v>
      </c>
      <c r="D223" s="6" t="s">
        <v>26</v>
      </c>
      <c r="E223" s="9">
        <v>8990.0</v>
      </c>
      <c r="F223" s="6" t="s">
        <v>27</v>
      </c>
    </row>
    <row r="224" ht="21.0" customHeight="1">
      <c r="A224" s="6" t="s">
        <v>657</v>
      </c>
      <c r="B224" s="6" t="s">
        <v>658</v>
      </c>
      <c r="C224" s="8">
        <v>46279.188888888886</v>
      </c>
      <c r="D224" s="6" t="s">
        <v>26</v>
      </c>
      <c r="E224" s="9">
        <v>8990.0</v>
      </c>
      <c r="F224" s="6" t="s">
        <v>43</v>
      </c>
    </row>
    <row r="225" ht="21.0" customHeight="1">
      <c r="A225" s="6" t="s">
        <v>660</v>
      </c>
      <c r="B225" s="6" t="s">
        <v>661</v>
      </c>
      <c r="C225" s="8">
        <v>46279.36041666667</v>
      </c>
      <c r="D225" s="6" t="s">
        <v>26</v>
      </c>
      <c r="E225" s="9">
        <v>49980.0</v>
      </c>
      <c r="F225" s="6" t="s">
        <v>43</v>
      </c>
    </row>
    <row r="226" ht="21.0" customHeight="1">
      <c r="A226" s="6" t="s">
        <v>662</v>
      </c>
      <c r="B226" s="6" t="s">
        <v>663</v>
      </c>
      <c r="C226" s="8">
        <v>46279.450694444444</v>
      </c>
      <c r="D226" s="6" t="s">
        <v>26</v>
      </c>
      <c r="E226" s="9">
        <v>8990.0</v>
      </c>
      <c r="F226" s="6" t="s">
        <v>27</v>
      </c>
    </row>
    <row r="227" ht="21.0" customHeight="1">
      <c r="A227" s="6" t="s">
        <v>665</v>
      </c>
      <c r="B227" s="6" t="s">
        <v>666</v>
      </c>
      <c r="C227" s="8">
        <v>46279.575</v>
      </c>
      <c r="D227" s="6" t="s">
        <v>26</v>
      </c>
      <c r="E227" s="9">
        <v>8990.0</v>
      </c>
      <c r="F227" s="6" t="s">
        <v>30</v>
      </c>
    </row>
    <row r="228" ht="21.0" customHeight="1">
      <c r="A228" s="6" t="s">
        <v>667</v>
      </c>
      <c r="B228" s="6" t="s">
        <v>668</v>
      </c>
      <c r="C228" s="8">
        <v>46279.743055555555</v>
      </c>
      <c r="D228" s="6" t="s">
        <v>26</v>
      </c>
      <c r="E228" s="9">
        <v>19990.0</v>
      </c>
      <c r="F228" s="6" t="s">
        <v>43</v>
      </c>
    </row>
    <row r="229" ht="21.0" customHeight="1">
      <c r="A229" s="6" t="s">
        <v>670</v>
      </c>
      <c r="B229" s="6" t="s">
        <v>671</v>
      </c>
      <c r="C229" s="8">
        <v>46279.90069444444</v>
      </c>
      <c r="D229" s="6" t="s">
        <v>26</v>
      </c>
      <c r="E229" s="9">
        <v>39980.0</v>
      </c>
      <c r="F229" s="6" t="s">
        <v>43</v>
      </c>
    </row>
    <row r="230" ht="21.0" customHeight="1">
      <c r="A230" s="6" t="s">
        <v>672</v>
      </c>
      <c r="B230" s="6" t="s">
        <v>673</v>
      </c>
      <c r="C230" s="8">
        <v>46279.99930555555</v>
      </c>
      <c r="D230" s="6" t="s">
        <v>26</v>
      </c>
      <c r="E230" s="9">
        <v>12990.0</v>
      </c>
      <c r="F230" s="6" t="s">
        <v>27</v>
      </c>
    </row>
    <row r="231" ht="21.0" customHeight="1">
      <c r="A231" s="6" t="s">
        <v>676</v>
      </c>
      <c r="B231" s="6" t="s">
        <v>677</v>
      </c>
      <c r="C231" s="8">
        <v>46280.11041666667</v>
      </c>
      <c r="D231" s="6" t="s">
        <v>26</v>
      </c>
      <c r="E231" s="9">
        <v>19990.0</v>
      </c>
      <c r="F231" s="6" t="s">
        <v>27</v>
      </c>
    </row>
    <row r="232" ht="21.0" customHeight="1">
      <c r="A232" s="6" t="s">
        <v>678</v>
      </c>
      <c r="B232" s="6" t="s">
        <v>679</v>
      </c>
      <c r="C232" s="8">
        <v>46280.23611111111</v>
      </c>
      <c r="D232" s="6" t="s">
        <v>26</v>
      </c>
      <c r="E232" s="9">
        <v>12990.0</v>
      </c>
      <c r="F232" s="6" t="s">
        <v>43</v>
      </c>
    </row>
    <row r="233" ht="21.0" customHeight="1">
      <c r="A233" s="6" t="s">
        <v>681</v>
      </c>
      <c r="B233" s="6" t="s">
        <v>682</v>
      </c>
      <c r="C233" s="8">
        <v>46280.35972222222</v>
      </c>
      <c r="D233" s="6" t="s">
        <v>26</v>
      </c>
      <c r="E233" s="9">
        <v>39980.0</v>
      </c>
      <c r="F233" s="6" t="s">
        <v>27</v>
      </c>
    </row>
    <row r="234" ht="21.0" customHeight="1">
      <c r="A234" s="6" t="s">
        <v>683</v>
      </c>
      <c r="B234" s="6" t="s">
        <v>684</v>
      </c>
      <c r="C234" s="8">
        <v>46280.50833333333</v>
      </c>
      <c r="D234" s="6" t="s">
        <v>26</v>
      </c>
      <c r="E234" s="9">
        <v>15990.0</v>
      </c>
      <c r="F234" s="6" t="s">
        <v>30</v>
      </c>
    </row>
    <row r="235" ht="21.0" customHeight="1">
      <c r="A235" s="6" t="s">
        <v>686</v>
      </c>
      <c r="B235" s="6" t="s">
        <v>687</v>
      </c>
      <c r="C235" s="8">
        <v>46280.66458333333</v>
      </c>
      <c r="D235" s="6" t="s">
        <v>26</v>
      </c>
      <c r="E235" s="9">
        <v>12990.0</v>
      </c>
      <c r="F235" s="6" t="s">
        <v>27</v>
      </c>
    </row>
    <row r="236" ht="21.0" customHeight="1">
      <c r="A236" s="6" t="s">
        <v>688</v>
      </c>
      <c r="B236" s="6" t="s">
        <v>689</v>
      </c>
      <c r="C236" s="8">
        <v>46280.756944444445</v>
      </c>
      <c r="D236" s="6" t="s">
        <v>26</v>
      </c>
      <c r="E236" s="9">
        <v>49980.0</v>
      </c>
      <c r="F236" s="6" t="s">
        <v>27</v>
      </c>
    </row>
    <row r="237" ht="21.0" customHeight="1">
      <c r="A237" s="6" t="s">
        <v>691</v>
      </c>
      <c r="B237" s="6" t="s">
        <v>692</v>
      </c>
      <c r="C237" s="8">
        <v>46280.865277777775</v>
      </c>
      <c r="D237" s="6" t="s">
        <v>26</v>
      </c>
      <c r="E237" s="9">
        <v>34990.0</v>
      </c>
      <c r="F237" s="6" t="s">
        <v>30</v>
      </c>
    </row>
    <row r="238" ht="21.0" customHeight="1">
      <c r="A238" s="6" t="s">
        <v>693</v>
      </c>
      <c r="B238" s="6" t="s">
        <v>695</v>
      </c>
      <c r="C238" s="8">
        <v>46281.01666666667</v>
      </c>
      <c r="D238" s="6" t="s">
        <v>26</v>
      </c>
      <c r="E238" s="9">
        <v>31980.0</v>
      </c>
      <c r="F238" s="6" t="s">
        <v>43</v>
      </c>
    </row>
    <row r="239" ht="21.0" customHeight="1">
      <c r="A239" s="6" t="s">
        <v>696</v>
      </c>
      <c r="B239" s="6" t="s">
        <v>697</v>
      </c>
      <c r="C239" s="8">
        <v>46281.138194444444</v>
      </c>
      <c r="D239" s="6" t="s">
        <v>26</v>
      </c>
      <c r="E239" s="9">
        <v>34990.0</v>
      </c>
      <c r="F239" s="6" t="s">
        <v>27</v>
      </c>
    </row>
    <row r="240" ht="21.0" customHeight="1">
      <c r="A240" s="6" t="s">
        <v>699</v>
      </c>
      <c r="B240" s="6" t="s">
        <v>700</v>
      </c>
      <c r="C240" s="8">
        <v>46281.29861111111</v>
      </c>
      <c r="D240" s="6" t="s">
        <v>26</v>
      </c>
      <c r="E240" s="9">
        <v>24990.0</v>
      </c>
      <c r="F240" s="6" t="s">
        <v>30</v>
      </c>
    </row>
    <row r="241" ht="21.0" customHeight="1">
      <c r="A241" s="6" t="s">
        <v>701</v>
      </c>
      <c r="B241" s="6" t="s">
        <v>702</v>
      </c>
      <c r="C241" s="8">
        <v>46281.42986111111</v>
      </c>
      <c r="D241" s="6" t="s">
        <v>26</v>
      </c>
      <c r="E241" s="9">
        <v>15990.0</v>
      </c>
      <c r="F241" s="6" t="s">
        <v>27</v>
      </c>
    </row>
    <row r="242" ht="21.0" customHeight="1">
      <c r="A242" s="6" t="s">
        <v>704</v>
      </c>
      <c r="B242" s="6" t="s">
        <v>705</v>
      </c>
      <c r="C242" s="8">
        <v>46281.538194444445</v>
      </c>
      <c r="D242" s="6" t="s">
        <v>26</v>
      </c>
      <c r="E242" s="9">
        <v>24990.0</v>
      </c>
      <c r="F242" s="6" t="s">
        <v>27</v>
      </c>
    </row>
    <row r="243" ht="21.0" customHeight="1">
      <c r="A243" s="6" t="s">
        <v>706</v>
      </c>
      <c r="B243" s="6" t="s">
        <v>707</v>
      </c>
      <c r="C243" s="8">
        <v>46281.683333333334</v>
      </c>
      <c r="D243" s="6" t="s">
        <v>26</v>
      </c>
      <c r="E243" s="9">
        <v>24990.0</v>
      </c>
      <c r="F243" s="6" t="s">
        <v>27</v>
      </c>
    </row>
    <row r="244" ht="21.0" customHeight="1">
      <c r="A244" s="6" t="s">
        <v>709</v>
      </c>
      <c r="B244" s="6" t="s">
        <v>710</v>
      </c>
      <c r="C244" s="8">
        <v>46281.82361111111</v>
      </c>
      <c r="D244" s="6" t="s">
        <v>26</v>
      </c>
      <c r="E244" s="9">
        <v>14980.0</v>
      </c>
      <c r="F244" s="6" t="s">
        <v>30</v>
      </c>
    </row>
    <row r="245" ht="21.0" customHeight="1">
      <c r="A245" s="6" t="s">
        <v>711</v>
      </c>
      <c r="B245" s="6" t="s">
        <v>712</v>
      </c>
      <c r="C245" s="8">
        <v>46281.94236111111</v>
      </c>
      <c r="D245" s="6" t="s">
        <v>26</v>
      </c>
      <c r="E245" s="9">
        <v>8990.0</v>
      </c>
      <c r="F245" s="6" t="s">
        <v>43</v>
      </c>
    </row>
    <row r="246" ht="21.0" customHeight="1">
      <c r="A246" s="6" t="s">
        <v>714</v>
      </c>
      <c r="B246" s="6" t="s">
        <v>715</v>
      </c>
      <c r="C246" s="8">
        <v>46281.94861111111</v>
      </c>
      <c r="D246" s="6" t="s">
        <v>26</v>
      </c>
      <c r="E246" s="9">
        <v>8990.0</v>
      </c>
      <c r="F246" s="6" t="s">
        <v>30</v>
      </c>
    </row>
    <row r="247" ht="21.0" customHeight="1">
      <c r="A247" s="6" t="s">
        <v>716</v>
      </c>
      <c r="B247" s="6" t="s">
        <v>717</v>
      </c>
      <c r="C247" s="8">
        <v>46282.16805555556</v>
      </c>
      <c r="D247" s="6" t="s">
        <v>26</v>
      </c>
      <c r="E247" s="9">
        <v>34990.0</v>
      </c>
      <c r="F247" s="6" t="s">
        <v>27</v>
      </c>
    </row>
    <row r="248" ht="21.0" customHeight="1">
      <c r="A248" s="6" t="s">
        <v>719</v>
      </c>
      <c r="B248" s="6" t="s">
        <v>720</v>
      </c>
      <c r="C248" s="8">
        <v>46282.32777777778</v>
      </c>
      <c r="D248" s="6" t="s">
        <v>26</v>
      </c>
      <c r="E248" s="9">
        <v>8990.0</v>
      </c>
      <c r="F248" s="6" t="s">
        <v>30</v>
      </c>
    </row>
    <row r="249" ht="21.0" customHeight="1">
      <c r="A249" s="6" t="s">
        <v>721</v>
      </c>
      <c r="B249" s="6" t="s">
        <v>722</v>
      </c>
      <c r="C249" s="8">
        <v>46282.42986111111</v>
      </c>
      <c r="D249" s="6" t="s">
        <v>26</v>
      </c>
      <c r="E249" s="9">
        <v>59970.0</v>
      </c>
      <c r="F249" s="6" t="s">
        <v>30</v>
      </c>
    </row>
    <row r="250" ht="21.0" customHeight="1">
      <c r="A250" s="6" t="s">
        <v>724</v>
      </c>
      <c r="B250" s="6" t="s">
        <v>725</v>
      </c>
      <c r="C250" s="8">
        <v>46282.60555555556</v>
      </c>
      <c r="D250" s="6" t="s">
        <v>26</v>
      </c>
      <c r="E250" s="9">
        <v>24990.0</v>
      </c>
      <c r="F250" s="6" t="s">
        <v>43</v>
      </c>
    </row>
    <row r="251" ht="21.0" customHeight="1">
      <c r="A251" s="6" t="s">
        <v>726</v>
      </c>
      <c r="B251" s="6" t="s">
        <v>727</v>
      </c>
      <c r="C251" s="8">
        <v>46282.725</v>
      </c>
      <c r="D251" s="6" t="s">
        <v>26</v>
      </c>
      <c r="E251" s="9">
        <v>69980.0</v>
      </c>
      <c r="F251" s="6" t="s">
        <v>30</v>
      </c>
    </row>
    <row r="252" ht="21.0" customHeight="1">
      <c r="A252" s="6" t="s">
        <v>728</v>
      </c>
      <c r="B252" s="6" t="s">
        <v>730</v>
      </c>
      <c r="C252" s="8">
        <v>46282.83263888889</v>
      </c>
      <c r="D252" s="6" t="s">
        <v>26</v>
      </c>
      <c r="E252" s="9">
        <v>19990.0</v>
      </c>
      <c r="F252" s="6" t="s">
        <v>27</v>
      </c>
    </row>
    <row r="253" ht="21.0" customHeight="1">
      <c r="A253" s="6" t="s">
        <v>731</v>
      </c>
      <c r="B253" s="6" t="s">
        <v>732</v>
      </c>
      <c r="C253" s="8">
        <v>46282.95625</v>
      </c>
      <c r="D253" s="6" t="s">
        <v>26</v>
      </c>
      <c r="E253" s="9">
        <v>8990.0</v>
      </c>
      <c r="F253" s="6" t="s">
        <v>30</v>
      </c>
    </row>
    <row r="254" ht="21.0" customHeight="1">
      <c r="A254" s="6" t="s">
        <v>733</v>
      </c>
      <c r="B254" s="6" t="s">
        <v>734</v>
      </c>
      <c r="C254" s="8">
        <v>46283.06458333333</v>
      </c>
      <c r="D254" s="6" t="s">
        <v>26</v>
      </c>
      <c r="E254" s="9">
        <v>12990.0</v>
      </c>
      <c r="F254" s="6" t="s">
        <v>27</v>
      </c>
    </row>
    <row r="255" ht="21.0" customHeight="1">
      <c r="A255" s="6" t="s">
        <v>735</v>
      </c>
      <c r="B255" s="6" t="s">
        <v>736</v>
      </c>
      <c r="C255" s="8">
        <v>46283.254166666666</v>
      </c>
      <c r="D255" s="6" t="s">
        <v>26</v>
      </c>
      <c r="E255" s="9">
        <v>19990.0</v>
      </c>
      <c r="F255" s="6" t="s">
        <v>30</v>
      </c>
    </row>
    <row r="256" ht="21.0" customHeight="1">
      <c r="A256" s="6" t="s">
        <v>737</v>
      </c>
      <c r="B256" s="6" t="s">
        <v>738</v>
      </c>
      <c r="C256" s="8">
        <v>46283.37152777778</v>
      </c>
      <c r="D256" s="6" t="s">
        <v>26</v>
      </c>
      <c r="E256" s="9">
        <v>24990.0</v>
      </c>
      <c r="F256" s="6" t="s">
        <v>27</v>
      </c>
    </row>
    <row r="257" ht="21.0" customHeight="1">
      <c r="A257" s="6" t="s">
        <v>740</v>
      </c>
      <c r="B257" s="6" t="s">
        <v>741</v>
      </c>
      <c r="C257" s="8">
        <v>46283.44583333333</v>
      </c>
      <c r="D257" s="6" t="s">
        <v>26</v>
      </c>
      <c r="E257" s="9">
        <v>25980.0</v>
      </c>
      <c r="F257" s="6" t="s">
        <v>30</v>
      </c>
    </row>
    <row r="258" ht="21.0" customHeight="1">
      <c r="A258" s="6" t="s">
        <v>742</v>
      </c>
      <c r="B258" s="6" t="s">
        <v>743</v>
      </c>
      <c r="C258" s="8">
        <v>46283.60833333333</v>
      </c>
      <c r="D258" s="6" t="s">
        <v>97</v>
      </c>
      <c r="E258" s="9">
        <v>0.0</v>
      </c>
      <c r="F258" s="6" t="s">
        <v>27</v>
      </c>
    </row>
    <row r="259" ht="21.0" customHeight="1">
      <c r="A259" s="6" t="s">
        <v>744</v>
      </c>
      <c r="B259" s="6" t="s">
        <v>745</v>
      </c>
      <c r="C259" s="8">
        <v>46283.75347222222</v>
      </c>
      <c r="D259" s="6" t="s">
        <v>26</v>
      </c>
      <c r="E259" s="9">
        <v>39980.0</v>
      </c>
      <c r="F259" s="6" t="s">
        <v>30</v>
      </c>
    </row>
    <row r="260" ht="21.0" customHeight="1">
      <c r="A260" s="6" t="s">
        <v>747</v>
      </c>
      <c r="B260" s="6" t="s">
        <v>748</v>
      </c>
      <c r="C260" s="8">
        <v>46283.83472222222</v>
      </c>
      <c r="D260" s="6" t="s">
        <v>26</v>
      </c>
      <c r="E260" s="9">
        <v>34990.0</v>
      </c>
      <c r="F260" s="6" t="s">
        <v>27</v>
      </c>
    </row>
    <row r="261" ht="21.0" customHeight="1">
      <c r="A261" s="6" t="s">
        <v>749</v>
      </c>
      <c r="B261" s="6" t="s">
        <v>750</v>
      </c>
      <c r="C261" s="8">
        <v>46284.00347222222</v>
      </c>
      <c r="D261" s="6" t="s">
        <v>26</v>
      </c>
      <c r="E261" s="9">
        <v>12990.0</v>
      </c>
      <c r="F261" s="6" t="s">
        <v>43</v>
      </c>
    </row>
    <row r="262" ht="21.0" customHeight="1">
      <c r="A262" s="6" t="s">
        <v>752</v>
      </c>
      <c r="B262" s="6" t="s">
        <v>753</v>
      </c>
      <c r="C262" s="8">
        <v>46284.14166666667</v>
      </c>
      <c r="D262" s="6" t="s">
        <v>26</v>
      </c>
      <c r="E262" s="9">
        <v>19990.0</v>
      </c>
      <c r="F262" s="6" t="s">
        <v>27</v>
      </c>
    </row>
    <row r="263" ht="21.0" customHeight="1">
      <c r="A263" s="6" t="s">
        <v>755</v>
      </c>
      <c r="B263" s="6" t="s">
        <v>756</v>
      </c>
      <c r="C263" s="8">
        <v>46284.26666666667</v>
      </c>
      <c r="D263" s="6" t="s">
        <v>26</v>
      </c>
      <c r="E263" s="9">
        <v>8990.0</v>
      </c>
      <c r="F263" s="6" t="s">
        <v>30</v>
      </c>
    </row>
    <row r="264" ht="21.0" customHeight="1">
      <c r="A264" s="6" t="s">
        <v>758</v>
      </c>
      <c r="B264" s="6" t="s">
        <v>759</v>
      </c>
      <c r="C264" s="8">
        <v>46284.38958333333</v>
      </c>
      <c r="D264" s="6" t="s">
        <v>26</v>
      </c>
      <c r="E264" s="9">
        <v>19990.0</v>
      </c>
      <c r="F264" s="6" t="s">
        <v>27</v>
      </c>
    </row>
    <row r="265" ht="21.0" customHeight="1">
      <c r="A265" s="6" t="s">
        <v>760</v>
      </c>
      <c r="B265" s="6" t="s">
        <v>761</v>
      </c>
      <c r="C265" s="8">
        <v>46284.495833333334</v>
      </c>
      <c r="D265" s="6" t="s">
        <v>26</v>
      </c>
      <c r="E265" s="9">
        <v>19990.0</v>
      </c>
      <c r="F265" s="6" t="s">
        <v>30</v>
      </c>
    </row>
    <row r="266" ht="21.0" customHeight="1">
      <c r="A266" s="6" t="s">
        <v>762</v>
      </c>
      <c r="B266" s="6" t="s">
        <v>763</v>
      </c>
      <c r="C266" s="8">
        <v>46284.66527777778</v>
      </c>
      <c r="D266" s="6" t="s">
        <v>26</v>
      </c>
      <c r="E266" s="9">
        <v>12990.0</v>
      </c>
      <c r="F266" s="6" t="s">
        <v>30</v>
      </c>
    </row>
    <row r="267" ht="21.0" customHeight="1">
      <c r="A267" s="6" t="s">
        <v>764</v>
      </c>
      <c r="B267" s="6" t="s">
        <v>765</v>
      </c>
      <c r="C267" s="8">
        <v>46284.79652777778</v>
      </c>
      <c r="D267" s="6" t="s">
        <v>26</v>
      </c>
      <c r="E267" s="9">
        <v>12990.0</v>
      </c>
      <c r="F267" s="6" t="s">
        <v>43</v>
      </c>
    </row>
    <row r="268" ht="21.0" customHeight="1">
      <c r="A268" s="6" t="s">
        <v>766</v>
      </c>
      <c r="B268" s="6" t="s">
        <v>767</v>
      </c>
      <c r="C268" s="8">
        <v>46284.88333333333</v>
      </c>
      <c r="D268" s="6" t="s">
        <v>26</v>
      </c>
      <c r="E268" s="9">
        <v>49980.0</v>
      </c>
      <c r="F268" s="6" t="s">
        <v>27</v>
      </c>
    </row>
    <row r="269" ht="21.0" customHeight="1">
      <c r="A269" s="6" t="s">
        <v>768</v>
      </c>
      <c r="B269" s="6" t="s">
        <v>769</v>
      </c>
      <c r="C269" s="8">
        <v>46285.03888888889</v>
      </c>
      <c r="D269" s="6" t="s">
        <v>26</v>
      </c>
      <c r="E269" s="9">
        <v>34990.0</v>
      </c>
      <c r="F269" s="6" t="s">
        <v>27</v>
      </c>
    </row>
    <row r="270" ht="21.0" customHeight="1">
      <c r="A270" s="6" t="s">
        <v>771</v>
      </c>
      <c r="B270" s="6" t="s">
        <v>772</v>
      </c>
      <c r="C270" s="8">
        <v>46285.177083333336</v>
      </c>
      <c r="D270" s="6" t="s">
        <v>26</v>
      </c>
      <c r="E270" s="9">
        <v>17980.0</v>
      </c>
      <c r="F270" s="6" t="s">
        <v>43</v>
      </c>
    </row>
    <row r="271" ht="21.0" customHeight="1">
      <c r="A271" s="6" t="s">
        <v>773</v>
      </c>
      <c r="B271" s="6" t="s">
        <v>774</v>
      </c>
      <c r="C271" s="8">
        <v>46285.302777777775</v>
      </c>
      <c r="D271" s="6" t="s">
        <v>26</v>
      </c>
      <c r="E271" s="9">
        <v>15990.0</v>
      </c>
      <c r="F271" s="6" t="s">
        <v>43</v>
      </c>
    </row>
    <row r="272" ht="21.0" customHeight="1">
      <c r="A272" s="6" t="s">
        <v>776</v>
      </c>
      <c r="B272" s="6" t="s">
        <v>777</v>
      </c>
      <c r="C272" s="8">
        <v>46285.38888888889</v>
      </c>
      <c r="D272" s="6" t="s">
        <v>26</v>
      </c>
      <c r="E272" s="9">
        <v>31980.0</v>
      </c>
      <c r="F272" s="6" t="s">
        <v>30</v>
      </c>
    </row>
    <row r="273" ht="21.0" customHeight="1">
      <c r="A273" s="6" t="s">
        <v>778</v>
      </c>
      <c r="B273" s="6" t="s">
        <v>779</v>
      </c>
      <c r="C273" s="8">
        <v>46285.57083333333</v>
      </c>
      <c r="D273" s="6" t="s">
        <v>26</v>
      </c>
      <c r="E273" s="9">
        <v>8990.0</v>
      </c>
      <c r="F273" s="6" t="s">
        <v>27</v>
      </c>
    </row>
    <row r="274" ht="21.0" customHeight="1">
      <c r="A274" s="6" t="s">
        <v>781</v>
      </c>
      <c r="B274" s="6" t="s">
        <v>782</v>
      </c>
      <c r="C274" s="8">
        <v>46285.66736111111</v>
      </c>
      <c r="D274" s="6" t="s">
        <v>26</v>
      </c>
      <c r="E274" s="9">
        <v>19990.0</v>
      </c>
      <c r="F274" s="6" t="s">
        <v>27</v>
      </c>
    </row>
    <row r="275" ht="21.0" customHeight="1">
      <c r="A275" s="6" t="s">
        <v>783</v>
      </c>
      <c r="B275" s="6" t="s">
        <v>784</v>
      </c>
      <c r="C275" s="8">
        <v>46285.80625</v>
      </c>
      <c r="D275" s="6" t="s">
        <v>26</v>
      </c>
      <c r="E275" s="9">
        <v>8990.0</v>
      </c>
      <c r="F275" s="6" t="s">
        <v>27</v>
      </c>
    </row>
    <row r="276" ht="21.0" customHeight="1">
      <c r="A276" s="6" t="s">
        <v>786</v>
      </c>
      <c r="B276" s="6" t="s">
        <v>787</v>
      </c>
      <c r="C276" s="8">
        <v>46285.91388888889</v>
      </c>
      <c r="D276" s="6" t="s">
        <v>26</v>
      </c>
      <c r="E276" s="9">
        <v>17980.0</v>
      </c>
      <c r="F276" s="6" t="s">
        <v>43</v>
      </c>
    </row>
    <row r="277" ht="21.0" customHeight="1">
      <c r="A277" s="6" t="s">
        <v>788</v>
      </c>
      <c r="B277" s="6" t="s">
        <v>789</v>
      </c>
      <c r="C277" s="8">
        <v>46286.072222222225</v>
      </c>
      <c r="D277" s="6" t="s">
        <v>26</v>
      </c>
      <c r="E277" s="9">
        <v>15990.0</v>
      </c>
      <c r="F277" s="6" t="s">
        <v>27</v>
      </c>
    </row>
    <row r="278" ht="21.0" customHeight="1">
      <c r="A278" s="6" t="s">
        <v>791</v>
      </c>
      <c r="B278" s="6" t="s">
        <v>792</v>
      </c>
      <c r="C278" s="8">
        <v>46286.220138888886</v>
      </c>
      <c r="D278" s="6" t="s">
        <v>26</v>
      </c>
      <c r="E278" s="9">
        <v>13000.0</v>
      </c>
      <c r="F278" s="6" t="s">
        <v>30</v>
      </c>
    </row>
    <row r="279" ht="21.0" customHeight="1">
      <c r="A279" s="6" t="s">
        <v>793</v>
      </c>
      <c r="B279" s="6" t="s">
        <v>794</v>
      </c>
      <c r="C279" s="8">
        <v>46286.23055555556</v>
      </c>
      <c r="D279" s="6" t="s">
        <v>26</v>
      </c>
      <c r="E279" s="9">
        <v>19990.0</v>
      </c>
      <c r="F279" s="6" t="s">
        <v>27</v>
      </c>
    </row>
    <row r="280" ht="21.0" customHeight="1">
      <c r="A280" s="6" t="s">
        <v>796</v>
      </c>
      <c r="B280" s="6" t="s">
        <v>797</v>
      </c>
      <c r="C280" s="8">
        <v>46286.45625</v>
      </c>
      <c r="D280" s="6" t="s">
        <v>26</v>
      </c>
      <c r="E280" s="9">
        <v>15990.0</v>
      </c>
      <c r="F280" s="6" t="s">
        <v>43</v>
      </c>
    </row>
    <row r="281" ht="21.0" customHeight="1">
      <c r="A281" s="6" t="s">
        <v>798</v>
      </c>
      <c r="B281" s="6" t="s">
        <v>799</v>
      </c>
      <c r="C281" s="8">
        <v>46286.60208333333</v>
      </c>
      <c r="D281" s="6" t="s">
        <v>26</v>
      </c>
      <c r="E281" s="9">
        <v>15990.0</v>
      </c>
      <c r="F281" s="6" t="s">
        <v>30</v>
      </c>
    </row>
    <row r="282" ht="21.0" customHeight="1">
      <c r="A282" s="6" t="s">
        <v>801</v>
      </c>
      <c r="B282" s="6" t="s">
        <v>802</v>
      </c>
      <c r="C282" s="8">
        <v>46286.71388888889</v>
      </c>
      <c r="D282" s="6" t="s">
        <v>26</v>
      </c>
      <c r="E282" s="9">
        <v>34990.0</v>
      </c>
      <c r="F282" s="6" t="s">
        <v>27</v>
      </c>
    </row>
    <row r="283" ht="21.0" customHeight="1">
      <c r="A283" s="6" t="s">
        <v>803</v>
      </c>
      <c r="B283" s="6" t="s">
        <v>804</v>
      </c>
      <c r="C283" s="8">
        <v>46286.84583333333</v>
      </c>
      <c r="D283" s="6" t="s">
        <v>26</v>
      </c>
      <c r="E283" s="9">
        <v>19990.0</v>
      </c>
      <c r="F283" s="6" t="s">
        <v>27</v>
      </c>
    </row>
    <row r="284" ht="21.0" customHeight="1">
      <c r="A284" s="6" t="s">
        <v>806</v>
      </c>
      <c r="B284" s="6" t="s">
        <v>807</v>
      </c>
      <c r="C284" s="8">
        <v>46286.955555555556</v>
      </c>
      <c r="D284" s="6" t="s">
        <v>26</v>
      </c>
      <c r="E284" s="9">
        <v>15990.0</v>
      </c>
      <c r="F284" s="6" t="s">
        <v>27</v>
      </c>
    </row>
    <row r="285" ht="21.0" customHeight="1">
      <c r="A285" s="6" t="s">
        <v>808</v>
      </c>
      <c r="B285" s="6" t="s">
        <v>809</v>
      </c>
      <c r="C285" s="8">
        <v>46287.12222222222</v>
      </c>
      <c r="D285" s="6" t="s">
        <v>26</v>
      </c>
      <c r="E285" s="9">
        <v>19990.0</v>
      </c>
      <c r="F285" s="6" t="s">
        <v>30</v>
      </c>
    </row>
    <row r="286" ht="21.0" customHeight="1">
      <c r="A286" s="6" t="s">
        <v>811</v>
      </c>
      <c r="B286" s="6" t="s">
        <v>812</v>
      </c>
      <c r="C286" s="8">
        <v>46287.263194444444</v>
      </c>
      <c r="D286" s="6" t="s">
        <v>26</v>
      </c>
      <c r="E286" s="9">
        <v>8990.0</v>
      </c>
      <c r="F286" s="6" t="s">
        <v>43</v>
      </c>
    </row>
    <row r="287" ht="21.0" customHeight="1">
      <c r="A287" s="6" t="s">
        <v>813</v>
      </c>
      <c r="B287" s="6" t="s">
        <v>814</v>
      </c>
      <c r="C287" s="8">
        <v>46287.32638888889</v>
      </c>
      <c r="D287" s="6" t="s">
        <v>26</v>
      </c>
      <c r="E287" s="9">
        <v>12990.0</v>
      </c>
      <c r="F287" s="6" t="s">
        <v>30</v>
      </c>
    </row>
    <row r="288" ht="21.0" customHeight="1">
      <c r="A288" s="6" t="s">
        <v>817</v>
      </c>
      <c r="B288" s="6" t="s">
        <v>818</v>
      </c>
      <c r="C288" s="8">
        <v>46287.47777777778</v>
      </c>
      <c r="D288" s="6" t="s">
        <v>26</v>
      </c>
      <c r="E288" s="9">
        <v>24990.0</v>
      </c>
      <c r="F288" s="6" t="s">
        <v>43</v>
      </c>
    </row>
    <row r="289" ht="21.0" customHeight="1">
      <c r="A289" s="6" t="s">
        <v>819</v>
      </c>
      <c r="B289" s="6" t="s">
        <v>820</v>
      </c>
      <c r="C289" s="8">
        <v>46287.58888888889</v>
      </c>
      <c r="D289" s="6" t="s">
        <v>26</v>
      </c>
      <c r="E289" s="9">
        <v>19990.0</v>
      </c>
      <c r="F289" s="6" t="s">
        <v>30</v>
      </c>
    </row>
    <row r="290" ht="21.0" customHeight="1">
      <c r="A290" s="6" t="s">
        <v>822</v>
      </c>
      <c r="B290" s="6" t="s">
        <v>823</v>
      </c>
      <c r="C290" s="8">
        <v>46287.722916666666</v>
      </c>
      <c r="D290" s="6" t="s">
        <v>26</v>
      </c>
      <c r="E290" s="9">
        <v>12990.0</v>
      </c>
      <c r="F290" s="6" t="s">
        <v>43</v>
      </c>
    </row>
    <row r="291" ht="21.0" customHeight="1">
      <c r="A291" s="6" t="s">
        <v>824</v>
      </c>
      <c r="B291" s="6" t="s">
        <v>825</v>
      </c>
      <c r="C291" s="8">
        <v>46287.83888888889</v>
      </c>
      <c r="D291" s="6" t="s">
        <v>26</v>
      </c>
      <c r="E291" s="9">
        <v>8990.0</v>
      </c>
      <c r="F291" s="6" t="s">
        <v>43</v>
      </c>
    </row>
    <row r="292" ht="21.0" customHeight="1">
      <c r="A292" s="6" t="s">
        <v>827</v>
      </c>
      <c r="B292" s="6" t="s">
        <v>828</v>
      </c>
      <c r="C292" s="8">
        <v>46287.97638888889</v>
      </c>
      <c r="D292" s="6" t="s">
        <v>26</v>
      </c>
      <c r="E292" s="9">
        <v>34990.0</v>
      </c>
      <c r="F292" s="6" t="s">
        <v>30</v>
      </c>
    </row>
    <row r="293" ht="21.0" customHeight="1">
      <c r="A293" s="6" t="s">
        <v>831</v>
      </c>
      <c r="B293" s="6" t="s">
        <v>832</v>
      </c>
      <c r="C293" s="8">
        <v>46288.10138888889</v>
      </c>
      <c r="D293" s="6" t="s">
        <v>125</v>
      </c>
      <c r="E293" s="9">
        <v>0.0</v>
      </c>
      <c r="F293" s="6" t="s">
        <v>43</v>
      </c>
    </row>
    <row r="294" ht="21.0" customHeight="1">
      <c r="A294" s="6" t="s">
        <v>834</v>
      </c>
      <c r="B294" s="6" t="s">
        <v>835</v>
      </c>
      <c r="C294" s="8">
        <v>46288.24236111111</v>
      </c>
      <c r="D294" s="6" t="s">
        <v>26</v>
      </c>
      <c r="E294" s="9">
        <v>34990.0</v>
      </c>
      <c r="F294" s="6" t="s">
        <v>30</v>
      </c>
    </row>
    <row r="295" ht="21.0" customHeight="1">
      <c r="A295" s="6" t="s">
        <v>836</v>
      </c>
      <c r="B295" s="6" t="s">
        <v>837</v>
      </c>
      <c r="C295" s="8">
        <v>46288.42291666667</v>
      </c>
      <c r="D295" s="6" t="s">
        <v>26</v>
      </c>
      <c r="E295" s="9">
        <v>12990.0</v>
      </c>
      <c r="F295" s="6" t="s">
        <v>43</v>
      </c>
    </row>
    <row r="296" ht="21.0" customHeight="1">
      <c r="A296" s="6" t="s">
        <v>839</v>
      </c>
      <c r="B296" s="6" t="s">
        <v>840</v>
      </c>
      <c r="C296" s="8">
        <v>46288.51111111111</v>
      </c>
      <c r="D296" s="6" t="s">
        <v>26</v>
      </c>
      <c r="E296" s="9">
        <v>24990.0</v>
      </c>
      <c r="F296" s="6" t="s">
        <v>27</v>
      </c>
    </row>
    <row r="297" ht="21.0" customHeight="1">
      <c r="A297" s="6" t="s">
        <v>841</v>
      </c>
      <c r="B297" s="6" t="s">
        <v>842</v>
      </c>
      <c r="C297" s="8">
        <v>46288.61597222222</v>
      </c>
      <c r="D297" s="6" t="s">
        <v>26</v>
      </c>
      <c r="E297" s="9">
        <v>19990.0</v>
      </c>
      <c r="F297" s="6" t="s">
        <v>27</v>
      </c>
    </row>
    <row r="298" ht="21.0" customHeight="1">
      <c r="A298" s="6" t="s">
        <v>844</v>
      </c>
      <c r="B298" s="6" t="s">
        <v>845</v>
      </c>
      <c r="C298" s="8">
        <v>46288.78958333333</v>
      </c>
      <c r="D298" s="6" t="s">
        <v>26</v>
      </c>
      <c r="E298" s="9">
        <v>8990.0</v>
      </c>
      <c r="F298" s="6" t="s">
        <v>30</v>
      </c>
    </row>
    <row r="299" ht="21.0" customHeight="1">
      <c r="A299" s="6" t="s">
        <v>846</v>
      </c>
      <c r="B299" s="6" t="s">
        <v>847</v>
      </c>
      <c r="C299" s="8">
        <v>46288.91736111111</v>
      </c>
      <c r="D299" s="6" t="s">
        <v>26</v>
      </c>
      <c r="E299" s="9">
        <v>8990.0</v>
      </c>
      <c r="F299" s="6" t="s">
        <v>30</v>
      </c>
    </row>
    <row r="300" ht="21.0" customHeight="1">
      <c r="A300" s="6" t="s">
        <v>849</v>
      </c>
      <c r="B300" s="6" t="s">
        <v>850</v>
      </c>
      <c r="C300" s="8">
        <v>46289.00833333333</v>
      </c>
      <c r="D300" s="6" t="s">
        <v>26</v>
      </c>
      <c r="E300" s="9">
        <v>34990.0</v>
      </c>
      <c r="F300" s="6" t="s">
        <v>30</v>
      </c>
    </row>
    <row r="301" ht="21.0" customHeight="1">
      <c r="A301" s="6" t="s">
        <v>851</v>
      </c>
      <c r="B301" s="6" t="s">
        <v>852</v>
      </c>
      <c r="C301" s="8">
        <v>46289.18958333333</v>
      </c>
      <c r="D301" s="6" t="s">
        <v>26</v>
      </c>
      <c r="E301" s="9">
        <v>19990.0</v>
      </c>
      <c r="F301" s="6" t="s">
        <v>27</v>
      </c>
    </row>
    <row r="302" ht="21.0" customHeight="1">
      <c r="A302" s="6" t="s">
        <v>854</v>
      </c>
      <c r="B302" s="6" t="s">
        <v>855</v>
      </c>
      <c r="C302" s="8">
        <v>46289.29305555556</v>
      </c>
      <c r="D302" s="6" t="s">
        <v>26</v>
      </c>
      <c r="E302" s="9">
        <v>19990.0</v>
      </c>
      <c r="F302" s="6" t="s">
        <v>43</v>
      </c>
    </row>
    <row r="303" ht="21.0" customHeight="1">
      <c r="A303" s="6" t="s">
        <v>856</v>
      </c>
      <c r="B303" s="6" t="s">
        <v>857</v>
      </c>
      <c r="C303" s="8">
        <v>46289.4</v>
      </c>
      <c r="D303" s="6" t="s">
        <v>26</v>
      </c>
      <c r="E303" s="9">
        <v>12990.0</v>
      </c>
      <c r="F303" s="6" t="s">
        <v>27</v>
      </c>
    </row>
    <row r="304" ht="21.0" customHeight="1">
      <c r="A304" s="6" t="s">
        <v>858</v>
      </c>
      <c r="B304" s="6" t="s">
        <v>860</v>
      </c>
      <c r="C304" s="8">
        <v>46289.55138888889</v>
      </c>
      <c r="D304" s="6" t="s">
        <v>26</v>
      </c>
      <c r="E304" s="9">
        <v>31980.0</v>
      </c>
      <c r="F304" s="6" t="s">
        <v>43</v>
      </c>
    </row>
    <row r="305" ht="21.0" customHeight="1">
      <c r="A305" s="6" t="s">
        <v>861</v>
      </c>
      <c r="B305" s="6" t="s">
        <v>862</v>
      </c>
      <c r="C305" s="8">
        <v>46289.65972222222</v>
      </c>
      <c r="D305" s="6" t="s">
        <v>26</v>
      </c>
      <c r="E305" s="9">
        <v>8990.0</v>
      </c>
      <c r="F305" s="6" t="s">
        <v>43</v>
      </c>
    </row>
    <row r="306" ht="21.0" customHeight="1">
      <c r="A306" s="6" t="s">
        <v>863</v>
      </c>
      <c r="B306" s="6" t="s">
        <v>864</v>
      </c>
      <c r="C306" s="8">
        <v>46289.84583333333</v>
      </c>
      <c r="D306" s="6" t="s">
        <v>97</v>
      </c>
      <c r="E306" s="9">
        <v>0.0</v>
      </c>
      <c r="F306" s="6" t="s">
        <v>30</v>
      </c>
    </row>
    <row r="307" ht="21.0" customHeight="1">
      <c r="A307" s="6" t="s">
        <v>866</v>
      </c>
      <c r="B307" s="6" t="s">
        <v>867</v>
      </c>
      <c r="C307" s="8">
        <v>46289.933333333334</v>
      </c>
      <c r="D307" s="6" t="s">
        <v>26</v>
      </c>
      <c r="E307" s="9">
        <v>24990.0</v>
      </c>
      <c r="F307" s="6" t="s">
        <v>30</v>
      </c>
    </row>
    <row r="308" ht="21.0" customHeight="1">
      <c r="A308" s="6" t="s">
        <v>868</v>
      </c>
      <c r="B308" s="6" t="s">
        <v>869</v>
      </c>
      <c r="C308" s="8">
        <v>46290.07777777778</v>
      </c>
      <c r="D308" s="6" t="s">
        <v>26</v>
      </c>
      <c r="E308" s="9">
        <v>34990.0</v>
      </c>
      <c r="F308" s="6" t="s">
        <v>43</v>
      </c>
    </row>
    <row r="309" ht="21.0" customHeight="1">
      <c r="A309" s="6" t="s">
        <v>871</v>
      </c>
      <c r="B309" s="6" t="s">
        <v>872</v>
      </c>
      <c r="C309" s="8">
        <v>46290.19930555556</v>
      </c>
      <c r="D309" s="6" t="s">
        <v>26</v>
      </c>
      <c r="E309" s="9">
        <v>24990.0</v>
      </c>
      <c r="F309" s="6" t="s">
        <v>27</v>
      </c>
    </row>
    <row r="310" ht="21.0" customHeight="1">
      <c r="A310" s="6" t="s">
        <v>873</v>
      </c>
      <c r="B310" s="6" t="s">
        <v>874</v>
      </c>
      <c r="C310" s="8">
        <v>46290.3</v>
      </c>
      <c r="D310" s="6" t="s">
        <v>26</v>
      </c>
      <c r="E310" s="9">
        <v>8990.0</v>
      </c>
      <c r="F310" s="6" t="s">
        <v>30</v>
      </c>
    </row>
    <row r="311" ht="21.0" customHeight="1">
      <c r="A311" s="6" t="s">
        <v>875</v>
      </c>
      <c r="B311" s="6" t="s">
        <v>876</v>
      </c>
      <c r="C311" s="8">
        <v>46290.493055555555</v>
      </c>
      <c r="D311" s="6" t="s">
        <v>26</v>
      </c>
      <c r="E311" s="9">
        <v>13980.0</v>
      </c>
      <c r="F311" s="6" t="s">
        <v>30</v>
      </c>
    </row>
    <row r="312" ht="21.0" customHeight="1">
      <c r="A312" s="6" t="s">
        <v>878</v>
      </c>
      <c r="B312" s="6" t="s">
        <v>879</v>
      </c>
      <c r="C312" s="8">
        <v>46290.61597222222</v>
      </c>
      <c r="D312" s="6" t="s">
        <v>26</v>
      </c>
      <c r="E312" s="9">
        <v>24990.0</v>
      </c>
      <c r="F312" s="6" t="s">
        <v>27</v>
      </c>
    </row>
    <row r="313" ht="21.0" customHeight="1">
      <c r="A313" s="6" t="s">
        <v>880</v>
      </c>
      <c r="B313" s="6" t="s">
        <v>881</v>
      </c>
      <c r="C313" s="8">
        <v>46290.59652777778</v>
      </c>
      <c r="D313" s="6" t="s">
        <v>26</v>
      </c>
      <c r="E313" s="9">
        <v>24990.0</v>
      </c>
      <c r="F313" s="6" t="s">
        <v>27</v>
      </c>
    </row>
    <row r="314" ht="21.0" customHeight="1">
      <c r="A314" s="6" t="s">
        <v>883</v>
      </c>
      <c r="B314" s="6" t="s">
        <v>884</v>
      </c>
      <c r="C314" s="8">
        <v>46290.822916666664</v>
      </c>
      <c r="D314" s="6" t="s">
        <v>26</v>
      </c>
      <c r="E314" s="9">
        <v>12990.0</v>
      </c>
      <c r="F314" s="6" t="s">
        <v>27</v>
      </c>
    </row>
    <row r="315" ht="21.0" customHeight="1">
      <c r="A315" s="6" t="s">
        <v>885</v>
      </c>
      <c r="B315" s="6" t="s">
        <v>886</v>
      </c>
      <c r="C315" s="8">
        <v>46290.97430555556</v>
      </c>
      <c r="D315" s="6" t="s">
        <v>26</v>
      </c>
      <c r="E315" s="9">
        <v>49980.0</v>
      </c>
      <c r="F315" s="6" t="s">
        <v>30</v>
      </c>
    </row>
    <row r="316" ht="21.0" customHeight="1">
      <c r="A316" s="6" t="s">
        <v>889</v>
      </c>
      <c r="B316" s="6" t="s">
        <v>890</v>
      </c>
      <c r="C316" s="8">
        <v>46291.09861111111</v>
      </c>
      <c r="D316" s="6" t="s">
        <v>26</v>
      </c>
      <c r="E316" s="9">
        <v>15990.0</v>
      </c>
      <c r="F316" s="6" t="s">
        <v>30</v>
      </c>
    </row>
    <row r="317" ht="21.0" customHeight="1">
      <c r="A317" s="6" t="s">
        <v>891</v>
      </c>
      <c r="B317" s="6" t="s">
        <v>892</v>
      </c>
      <c r="C317" s="8">
        <v>46291.20347222222</v>
      </c>
      <c r="D317" s="6" t="s">
        <v>26</v>
      </c>
      <c r="E317" s="9">
        <v>24990.0</v>
      </c>
      <c r="F317" s="6" t="s">
        <v>30</v>
      </c>
    </row>
    <row r="318" ht="21.0" customHeight="1">
      <c r="A318" s="6" t="s">
        <v>893</v>
      </c>
      <c r="B318" s="6" t="s">
        <v>894</v>
      </c>
      <c r="C318" s="8">
        <v>46291.381944444445</v>
      </c>
      <c r="D318" s="6" t="s">
        <v>26</v>
      </c>
      <c r="E318" s="9">
        <v>19990.0</v>
      </c>
      <c r="F318" s="6" t="s">
        <v>43</v>
      </c>
    </row>
    <row r="319" ht="21.0" customHeight="1">
      <c r="A319" s="6" t="s">
        <v>896</v>
      </c>
      <c r="B319" s="6" t="s">
        <v>897</v>
      </c>
      <c r="C319" s="8">
        <v>46291.48611111111</v>
      </c>
      <c r="D319" s="6" t="s">
        <v>26</v>
      </c>
      <c r="E319" s="9">
        <v>15990.0</v>
      </c>
      <c r="F319" s="6" t="s">
        <v>30</v>
      </c>
    </row>
    <row r="320" ht="21.0" customHeight="1">
      <c r="A320" s="6" t="s">
        <v>898</v>
      </c>
      <c r="B320" s="6" t="s">
        <v>899</v>
      </c>
      <c r="C320" s="8">
        <v>46291.62708333333</v>
      </c>
      <c r="D320" s="6" t="s">
        <v>26</v>
      </c>
      <c r="E320" s="9">
        <v>34990.0</v>
      </c>
      <c r="F320" s="6" t="s">
        <v>30</v>
      </c>
    </row>
    <row r="321" ht="21.0" customHeight="1">
      <c r="A321" s="6" t="s">
        <v>901</v>
      </c>
      <c r="B321" s="6" t="s">
        <v>902</v>
      </c>
      <c r="C321" s="8">
        <v>46291.78055555555</v>
      </c>
      <c r="D321" s="6" t="s">
        <v>26</v>
      </c>
      <c r="E321" s="9">
        <v>34990.0</v>
      </c>
      <c r="F321" s="6" t="s">
        <v>43</v>
      </c>
    </row>
    <row r="322" ht="21.0" customHeight="1">
      <c r="A322" s="6" t="s">
        <v>903</v>
      </c>
      <c r="B322" s="6" t="s">
        <v>904</v>
      </c>
      <c r="C322" s="8">
        <v>46291.90138888889</v>
      </c>
      <c r="D322" s="6" t="s">
        <v>26</v>
      </c>
      <c r="E322" s="9">
        <v>17980.0</v>
      </c>
      <c r="F322" s="6" t="s">
        <v>43</v>
      </c>
    </row>
    <row r="323" ht="21.0" customHeight="1">
      <c r="A323" s="6" t="s">
        <v>905</v>
      </c>
      <c r="B323" s="6" t="s">
        <v>906</v>
      </c>
      <c r="C323" s="8">
        <v>46292.01944444444</v>
      </c>
      <c r="D323" s="6" t="s">
        <v>26</v>
      </c>
      <c r="E323" s="9">
        <v>19990.0</v>
      </c>
      <c r="F323" s="6" t="s">
        <v>27</v>
      </c>
    </row>
    <row r="324" ht="21.0" customHeight="1">
      <c r="A324" s="6" t="s">
        <v>908</v>
      </c>
      <c r="B324" s="6" t="s">
        <v>909</v>
      </c>
      <c r="C324" s="8">
        <v>46292.12222222222</v>
      </c>
      <c r="D324" s="6" t="s">
        <v>26</v>
      </c>
      <c r="E324" s="9">
        <v>31980.0</v>
      </c>
      <c r="F324" s="6" t="s">
        <v>27</v>
      </c>
    </row>
    <row r="325" ht="21.0" customHeight="1">
      <c r="A325" s="6" t="s">
        <v>910</v>
      </c>
      <c r="B325" s="6" t="s">
        <v>911</v>
      </c>
      <c r="C325" s="8">
        <v>46292.24652777778</v>
      </c>
      <c r="D325" s="6" t="s">
        <v>26</v>
      </c>
      <c r="E325" s="9">
        <v>19990.0</v>
      </c>
      <c r="F325" s="6" t="s">
        <v>30</v>
      </c>
    </row>
    <row r="326" ht="21.0" customHeight="1">
      <c r="A326" s="6" t="s">
        <v>913</v>
      </c>
      <c r="B326" s="6" t="s">
        <v>914</v>
      </c>
      <c r="C326" s="8">
        <v>46292.36666666667</v>
      </c>
      <c r="D326" s="6" t="s">
        <v>26</v>
      </c>
      <c r="E326" s="9">
        <v>12990.0</v>
      </c>
      <c r="F326" s="6" t="s">
        <v>43</v>
      </c>
    </row>
    <row r="327" ht="21.0" customHeight="1">
      <c r="A327" s="6" t="s">
        <v>915</v>
      </c>
      <c r="B327" s="6" t="s">
        <v>916</v>
      </c>
      <c r="C327" s="8">
        <v>46292.52777777778</v>
      </c>
      <c r="D327" s="6" t="s">
        <v>26</v>
      </c>
      <c r="E327" s="9">
        <v>24990.0</v>
      </c>
      <c r="F327" s="6" t="s">
        <v>43</v>
      </c>
    </row>
    <row r="328" ht="21.0" customHeight="1">
      <c r="A328" s="6" t="s">
        <v>917</v>
      </c>
      <c r="B328" s="6" t="s">
        <v>918</v>
      </c>
      <c r="C328" s="8">
        <v>46292.657638888886</v>
      </c>
      <c r="D328" s="6" t="s">
        <v>26</v>
      </c>
      <c r="E328" s="9">
        <v>34990.0</v>
      </c>
      <c r="F328" s="6" t="s">
        <v>43</v>
      </c>
    </row>
    <row r="329" ht="21.0" customHeight="1">
      <c r="A329" s="6" t="s">
        <v>920</v>
      </c>
      <c r="B329" s="6" t="s">
        <v>921</v>
      </c>
      <c r="C329" s="8">
        <v>46292.76944444444</v>
      </c>
      <c r="D329" s="6" t="s">
        <v>26</v>
      </c>
      <c r="E329" s="9">
        <v>39980.0</v>
      </c>
      <c r="F329" s="6" t="s">
        <v>43</v>
      </c>
    </row>
    <row r="330" ht="21.0" customHeight="1">
      <c r="A330" s="6" t="s">
        <v>922</v>
      </c>
      <c r="B330" s="6" t="s">
        <v>923</v>
      </c>
      <c r="C330" s="8">
        <v>46292.94305555556</v>
      </c>
      <c r="D330" s="6" t="s">
        <v>26</v>
      </c>
      <c r="E330" s="9">
        <v>12990.0</v>
      </c>
      <c r="F330" s="6" t="s">
        <v>43</v>
      </c>
    </row>
    <row r="331" ht="21.0" customHeight="1">
      <c r="A331" s="6" t="s">
        <v>924</v>
      </c>
      <c r="B331" s="6" t="s">
        <v>925</v>
      </c>
      <c r="C331" s="8">
        <v>46293.02013888889</v>
      </c>
      <c r="D331" s="6" t="s">
        <v>26</v>
      </c>
      <c r="E331" s="9">
        <v>34990.0</v>
      </c>
      <c r="F331" s="6" t="s">
        <v>30</v>
      </c>
    </row>
    <row r="332" ht="21.0" customHeight="1">
      <c r="A332" s="6" t="s">
        <v>926</v>
      </c>
      <c r="B332" s="6" t="s">
        <v>927</v>
      </c>
      <c r="C332" s="8">
        <v>46293.1625</v>
      </c>
      <c r="D332" s="6" t="s">
        <v>26</v>
      </c>
      <c r="E332" s="9">
        <v>17980.0</v>
      </c>
      <c r="F332" s="6" t="s">
        <v>43</v>
      </c>
    </row>
    <row r="333" ht="21.0" customHeight="1">
      <c r="A333" s="6" t="s">
        <v>928</v>
      </c>
      <c r="B333" s="6" t="s">
        <v>930</v>
      </c>
      <c r="C333" s="8">
        <v>46293.30625</v>
      </c>
      <c r="D333" s="6" t="s">
        <v>26</v>
      </c>
      <c r="E333" s="9">
        <v>15990.0</v>
      </c>
      <c r="F333" s="6" t="s">
        <v>43</v>
      </c>
    </row>
    <row r="334" ht="21.0" customHeight="1">
      <c r="A334" s="6" t="s">
        <v>931</v>
      </c>
      <c r="B334" s="6" t="s">
        <v>932</v>
      </c>
      <c r="C334" s="8">
        <v>46293.43541666667</v>
      </c>
      <c r="D334" s="6" t="s">
        <v>26</v>
      </c>
      <c r="E334" s="9">
        <v>34990.0</v>
      </c>
      <c r="F334" s="6" t="s">
        <v>43</v>
      </c>
    </row>
    <row r="335" ht="21.0" customHeight="1">
      <c r="A335" s="6" t="s">
        <v>934</v>
      </c>
      <c r="B335" s="6" t="s">
        <v>935</v>
      </c>
      <c r="C335" s="8">
        <v>46293.56805555556</v>
      </c>
      <c r="D335" s="6" t="s">
        <v>26</v>
      </c>
      <c r="E335" s="9">
        <v>12990.0</v>
      </c>
      <c r="F335" s="6" t="s">
        <v>30</v>
      </c>
    </row>
    <row r="336" ht="21.0" customHeight="1">
      <c r="A336" s="6" t="s">
        <v>936</v>
      </c>
      <c r="B336" s="6" t="s">
        <v>937</v>
      </c>
      <c r="C336" s="8">
        <v>46293.649305555555</v>
      </c>
      <c r="D336" s="6" t="s">
        <v>26</v>
      </c>
      <c r="E336" s="9">
        <v>8990.0</v>
      </c>
      <c r="F336" s="6" t="s">
        <v>30</v>
      </c>
    </row>
    <row r="337" ht="21.0" customHeight="1">
      <c r="A337" s="6" t="s">
        <v>938</v>
      </c>
      <c r="B337" s="6" t="s">
        <v>940</v>
      </c>
      <c r="C337" s="8">
        <v>46293.80972222222</v>
      </c>
      <c r="D337" s="6" t="s">
        <v>26</v>
      </c>
      <c r="E337" s="9">
        <v>19990.0</v>
      </c>
      <c r="F337" s="6" t="s">
        <v>43</v>
      </c>
    </row>
    <row r="338" ht="21.0" customHeight="1">
      <c r="A338" s="6" t="s">
        <v>941</v>
      </c>
      <c r="B338" s="6" t="s">
        <v>942</v>
      </c>
      <c r="C338" s="8">
        <v>46293.97430555556</v>
      </c>
      <c r="D338" s="6" t="s">
        <v>26</v>
      </c>
      <c r="E338" s="9">
        <v>15990.0</v>
      </c>
      <c r="F338" s="6" t="s">
        <v>30</v>
      </c>
    </row>
    <row r="339" ht="21.0" customHeight="1">
      <c r="A339" s="6" t="s">
        <v>943</v>
      </c>
      <c r="B339" s="6" t="s">
        <v>944</v>
      </c>
      <c r="C339" s="8">
        <v>46294.05069444444</v>
      </c>
      <c r="D339" s="6" t="s">
        <v>26</v>
      </c>
      <c r="E339" s="9">
        <v>23000.0</v>
      </c>
      <c r="F339" s="6" t="s">
        <v>43</v>
      </c>
    </row>
    <row r="340" ht="21.0" customHeight="1">
      <c r="A340" s="6" t="s">
        <v>946</v>
      </c>
      <c r="B340" s="6" t="s">
        <v>947</v>
      </c>
      <c r="C340" s="8">
        <v>46294.183333333334</v>
      </c>
      <c r="D340" s="6" t="s">
        <v>26</v>
      </c>
      <c r="E340" s="9">
        <v>24990.0</v>
      </c>
      <c r="F340" s="6" t="s">
        <v>43</v>
      </c>
    </row>
    <row r="341" ht="21.0" customHeight="1">
      <c r="A341" s="6" t="s">
        <v>948</v>
      </c>
      <c r="B341" s="6" t="s">
        <v>949</v>
      </c>
      <c r="C341" s="8">
        <v>46294.299305555556</v>
      </c>
      <c r="D341" s="6" t="s">
        <v>26</v>
      </c>
      <c r="E341" s="9">
        <v>8990.0</v>
      </c>
      <c r="F341" s="6" t="s">
        <v>43</v>
      </c>
    </row>
    <row r="342" ht="21.0" customHeight="1">
      <c r="A342" s="6" t="s">
        <v>951</v>
      </c>
      <c r="B342" s="6" t="s">
        <v>952</v>
      </c>
      <c r="C342" s="8">
        <v>46294.45972222222</v>
      </c>
      <c r="D342" s="6" t="s">
        <v>26</v>
      </c>
      <c r="E342" s="9">
        <v>24990.0</v>
      </c>
      <c r="F342" s="6" t="s">
        <v>27</v>
      </c>
    </row>
    <row r="343" ht="21.0" customHeight="1">
      <c r="A343" s="6" t="s">
        <v>953</v>
      </c>
      <c r="B343" s="6" t="s">
        <v>954</v>
      </c>
      <c r="C343" s="8">
        <v>46294.58541666667</v>
      </c>
      <c r="D343" s="6" t="s">
        <v>26</v>
      </c>
      <c r="E343" s="9">
        <v>8990.0</v>
      </c>
      <c r="F343" s="6" t="s">
        <v>43</v>
      </c>
    </row>
    <row r="344" ht="21.0" customHeight="1">
      <c r="A344" s="6" t="s">
        <v>955</v>
      </c>
      <c r="B344" s="6" t="s">
        <v>956</v>
      </c>
      <c r="C344" s="8">
        <v>46294.72361111111</v>
      </c>
      <c r="D344" s="6" t="s">
        <v>26</v>
      </c>
      <c r="E344" s="9">
        <v>12990.0</v>
      </c>
      <c r="F344" s="6" t="s">
        <v>30</v>
      </c>
    </row>
    <row r="345" ht="21.0" customHeight="1">
      <c r="A345" s="6" t="s">
        <v>958</v>
      </c>
      <c r="B345" s="6" t="s">
        <v>959</v>
      </c>
      <c r="C345" s="8">
        <v>46294.833333333336</v>
      </c>
      <c r="D345" s="6" t="s">
        <v>26</v>
      </c>
      <c r="E345" s="9">
        <v>12990.0</v>
      </c>
      <c r="F345" s="6" t="s">
        <v>27</v>
      </c>
    </row>
    <row r="346" ht="21.0" customHeight="1">
      <c r="A346" s="6" t="s">
        <v>960</v>
      </c>
      <c r="B346" s="6" t="s">
        <v>961</v>
      </c>
      <c r="C346" s="8">
        <v>46294.986805555556</v>
      </c>
      <c r="D346" s="6" t="s">
        <v>26</v>
      </c>
      <c r="E346" s="9">
        <v>19990.0</v>
      </c>
      <c r="F346" s="6" t="s">
        <v>27</v>
      </c>
    </row>
    <row r="347" ht="21.0" customHeight="1">
      <c r="A347" s="6" t="s">
        <v>963</v>
      </c>
      <c r="B347" s="6" t="s">
        <v>964</v>
      </c>
      <c r="C347" s="8">
        <v>46295.07361111111</v>
      </c>
      <c r="D347" s="6" t="s">
        <v>26</v>
      </c>
      <c r="E347" s="9">
        <v>15990.0</v>
      </c>
      <c r="F347" s="6" t="s">
        <v>27</v>
      </c>
    </row>
    <row r="348" ht="21.0" customHeight="1">
      <c r="A348" s="6" t="s">
        <v>965</v>
      </c>
      <c r="B348" s="6" t="s">
        <v>969</v>
      </c>
      <c r="C348" s="8">
        <v>46295.20972222222</v>
      </c>
      <c r="D348" s="6" t="s">
        <v>26</v>
      </c>
      <c r="E348" s="9">
        <v>8990.0</v>
      </c>
      <c r="F348" s="6" t="s">
        <v>43</v>
      </c>
    </row>
    <row r="349" ht="21.0" customHeight="1">
      <c r="A349" s="6" t="s">
        <v>970</v>
      </c>
      <c r="B349" s="6" t="s">
        <v>971</v>
      </c>
      <c r="C349" s="8">
        <v>46295.39027777778</v>
      </c>
      <c r="D349" s="6" t="s">
        <v>26</v>
      </c>
      <c r="E349" s="9">
        <v>12990.0</v>
      </c>
      <c r="F349" s="6" t="s">
        <v>30</v>
      </c>
    </row>
    <row r="350" ht="21.0" customHeight="1">
      <c r="A350" s="6" t="s">
        <v>973</v>
      </c>
      <c r="B350" s="6" t="s">
        <v>974</v>
      </c>
      <c r="C350" s="8">
        <v>46295.48263888889</v>
      </c>
      <c r="D350" s="6" t="s">
        <v>26</v>
      </c>
      <c r="E350" s="9">
        <v>25980.0</v>
      </c>
      <c r="F350" s="6" t="s">
        <v>30</v>
      </c>
    </row>
    <row r="351" ht="21.0" customHeight="1">
      <c r="A351" s="6" t="s">
        <v>975</v>
      </c>
      <c r="B351" s="6" t="s">
        <v>976</v>
      </c>
      <c r="C351" s="8">
        <v>46295.5875</v>
      </c>
      <c r="D351" s="6" t="s">
        <v>26</v>
      </c>
      <c r="E351" s="9">
        <v>8990.0</v>
      </c>
      <c r="F351" s="6" t="s">
        <v>43</v>
      </c>
    </row>
    <row r="352" ht="21.0" customHeight="1">
      <c r="A352" s="6" t="s">
        <v>978</v>
      </c>
      <c r="B352" s="6" t="s">
        <v>979</v>
      </c>
      <c r="C352" s="8">
        <v>46295.74375</v>
      </c>
      <c r="D352" s="6" t="s">
        <v>26</v>
      </c>
      <c r="E352" s="9">
        <v>34990.0</v>
      </c>
      <c r="F352" s="6" t="s">
        <v>43</v>
      </c>
    </row>
    <row r="353" ht="21.0" customHeight="1">
      <c r="A353" s="6" t="s">
        <v>980</v>
      </c>
      <c r="B353" s="6" t="s">
        <v>982</v>
      </c>
      <c r="C353" s="8">
        <v>46295.87152777778</v>
      </c>
      <c r="D353" s="6" t="s">
        <v>97</v>
      </c>
      <c r="E353" s="9">
        <v>0.0</v>
      </c>
      <c r="F353" s="6" t="s">
        <v>43</v>
      </c>
    </row>
    <row r="354" ht="21.0" customHeight="1">
      <c r="A354" s="6" t="s">
        <v>984</v>
      </c>
      <c r="B354" s="6" t="s">
        <v>985</v>
      </c>
      <c r="C354" s="8">
        <v>46296.0</v>
      </c>
      <c r="D354" s="6" t="s">
        <v>26</v>
      </c>
      <c r="E354" s="9">
        <v>19990.0</v>
      </c>
      <c r="F354" s="6" t="s">
        <v>43</v>
      </c>
    </row>
    <row r="355" ht="21.0" customHeight="1">
      <c r="A355" s="6" t="s">
        <v>986</v>
      </c>
      <c r="B355" s="6" t="s">
        <v>987</v>
      </c>
      <c r="C355" s="8">
        <v>46296.10972222222</v>
      </c>
      <c r="D355" s="6" t="s">
        <v>26</v>
      </c>
      <c r="E355" s="9">
        <v>15990.0</v>
      </c>
      <c r="F355" s="6" t="s">
        <v>43</v>
      </c>
    </row>
    <row r="356" ht="21.0" customHeight="1">
      <c r="A356" s="6" t="s">
        <v>989</v>
      </c>
      <c r="B356" s="6" t="s">
        <v>990</v>
      </c>
      <c r="C356" s="8">
        <v>46296.14791666667</v>
      </c>
      <c r="D356" s="6" t="s">
        <v>26</v>
      </c>
      <c r="E356" s="9">
        <v>15990.0</v>
      </c>
      <c r="F356" s="6" t="s">
        <v>27</v>
      </c>
    </row>
    <row r="357" ht="21.0" customHeight="1">
      <c r="A357" s="6" t="s">
        <v>991</v>
      </c>
      <c r="B357" s="6" t="s">
        <v>992</v>
      </c>
      <c r="C357" s="8">
        <v>46296.40902777778</v>
      </c>
      <c r="D357" s="6" t="s">
        <v>26</v>
      </c>
      <c r="E357" s="9">
        <v>34990.0</v>
      </c>
      <c r="F357" s="6" t="s">
        <v>30</v>
      </c>
    </row>
    <row r="358" ht="21.0" customHeight="1">
      <c r="A358" s="6" t="s">
        <v>994</v>
      </c>
      <c r="B358" s="6" t="s">
        <v>995</v>
      </c>
      <c r="C358" s="8">
        <v>46296.56180555555</v>
      </c>
      <c r="D358" s="6" t="s">
        <v>26</v>
      </c>
      <c r="E358" s="9">
        <v>39980.0</v>
      </c>
      <c r="F358" s="6" t="s">
        <v>30</v>
      </c>
    </row>
    <row r="359" ht="21.0" customHeight="1">
      <c r="A359" s="6" t="s">
        <v>996</v>
      </c>
      <c r="B359" s="6" t="s">
        <v>997</v>
      </c>
      <c r="C359" s="8">
        <v>46296.638194444444</v>
      </c>
      <c r="D359" s="6" t="s">
        <v>26</v>
      </c>
      <c r="E359" s="9">
        <v>8990.0</v>
      </c>
      <c r="F359" s="6" t="s">
        <v>43</v>
      </c>
    </row>
    <row r="360" ht="21.0" customHeight="1">
      <c r="A360" s="6" t="s">
        <v>999</v>
      </c>
      <c r="B360" s="6" t="s">
        <v>1000</v>
      </c>
      <c r="C360" s="8">
        <v>46296.770833333336</v>
      </c>
      <c r="D360" s="6" t="s">
        <v>26</v>
      </c>
      <c r="E360" s="9">
        <v>12990.0</v>
      </c>
      <c r="F360" s="6" t="s">
        <v>30</v>
      </c>
    </row>
    <row r="361" ht="21.0" customHeight="1">
      <c r="A361" s="6" t="s">
        <v>1001</v>
      </c>
      <c r="B361" s="6" t="s">
        <v>1002</v>
      </c>
      <c r="C361" s="8">
        <v>46296.90625</v>
      </c>
      <c r="D361" s="6" t="s">
        <v>26</v>
      </c>
      <c r="E361" s="9">
        <v>12990.0</v>
      </c>
      <c r="F361" s="6" t="s">
        <v>30</v>
      </c>
    </row>
    <row r="362" ht="21.0" customHeight="1">
      <c r="A362" s="6" t="s">
        <v>1004</v>
      </c>
      <c r="B362" s="6" t="s">
        <v>1005</v>
      </c>
      <c r="C362" s="8">
        <v>46297.04513888889</v>
      </c>
      <c r="D362" s="6" t="s">
        <v>26</v>
      </c>
      <c r="E362" s="9">
        <v>24990.0</v>
      </c>
      <c r="F362" s="6" t="s">
        <v>30</v>
      </c>
    </row>
    <row r="363" ht="21.0" customHeight="1">
      <c r="A363" s="6" t="s">
        <v>1006</v>
      </c>
      <c r="B363" s="6" t="s">
        <v>1007</v>
      </c>
      <c r="C363" s="8">
        <v>46297.152083333334</v>
      </c>
      <c r="D363" s="6" t="s">
        <v>26</v>
      </c>
      <c r="E363" s="9">
        <v>15990.0</v>
      </c>
      <c r="F363" s="6" t="s">
        <v>43</v>
      </c>
    </row>
    <row r="364" ht="21.0" customHeight="1">
      <c r="A364" s="6" t="s">
        <v>1008</v>
      </c>
      <c r="B364" s="6" t="s">
        <v>1010</v>
      </c>
      <c r="C364" s="8">
        <v>46297.27638888889</v>
      </c>
      <c r="D364" s="6" t="s">
        <v>26</v>
      </c>
      <c r="E364" s="9">
        <v>74970.0</v>
      </c>
      <c r="F364" s="6" t="s">
        <v>43</v>
      </c>
    </row>
    <row r="365" ht="21.0" customHeight="1">
      <c r="A365" s="6" t="s">
        <v>1011</v>
      </c>
      <c r="B365" s="6" t="s">
        <v>1012</v>
      </c>
      <c r="C365" s="8">
        <v>46297.45277777778</v>
      </c>
      <c r="D365" s="6" t="s">
        <v>26</v>
      </c>
      <c r="E365" s="9">
        <v>12990.0</v>
      </c>
      <c r="F365" s="6" t="s">
        <v>43</v>
      </c>
    </row>
    <row r="366" ht="21.0" customHeight="1">
      <c r="A366" s="6" t="s">
        <v>1014</v>
      </c>
      <c r="B366" s="6" t="s">
        <v>1015</v>
      </c>
      <c r="C366" s="8">
        <v>46297.53194444445</v>
      </c>
      <c r="D366" s="6" t="s">
        <v>26</v>
      </c>
      <c r="E366" s="9">
        <v>18000.0</v>
      </c>
      <c r="F366" s="6" t="s">
        <v>30</v>
      </c>
    </row>
    <row r="367" ht="21.0" customHeight="1">
      <c r="A367" s="6" t="s">
        <v>1016</v>
      </c>
      <c r="B367" s="6" t="s">
        <v>1017</v>
      </c>
      <c r="C367" s="8">
        <v>46297.660416666666</v>
      </c>
      <c r="D367" s="6" t="s">
        <v>26</v>
      </c>
      <c r="E367" s="9">
        <v>12990.0</v>
      </c>
      <c r="F367" s="6" t="s">
        <v>27</v>
      </c>
    </row>
    <row r="368" ht="21.0" customHeight="1">
      <c r="A368" s="6" t="s">
        <v>1019</v>
      </c>
      <c r="B368" s="6" t="s">
        <v>1020</v>
      </c>
      <c r="C368" s="8">
        <v>46297.78402777778</v>
      </c>
      <c r="D368" s="6" t="s">
        <v>26</v>
      </c>
      <c r="E368" s="9">
        <v>59970.0</v>
      </c>
      <c r="F368" s="6" t="s">
        <v>30</v>
      </c>
    </row>
    <row r="369" ht="21.0" customHeight="1">
      <c r="A369" s="6" t="s">
        <v>1021</v>
      </c>
      <c r="B369" s="6" t="s">
        <v>1022</v>
      </c>
      <c r="C369" s="8">
        <v>46297.97777777778</v>
      </c>
      <c r="D369" s="6" t="s">
        <v>26</v>
      </c>
      <c r="E369" s="9">
        <v>15990.0</v>
      </c>
      <c r="F369" s="6" t="s">
        <v>30</v>
      </c>
    </row>
    <row r="370" ht="21.0" customHeight="1">
      <c r="A370" s="6" t="s">
        <v>1024</v>
      </c>
      <c r="B370" s="6" t="s">
        <v>1025</v>
      </c>
      <c r="C370" s="8">
        <v>46298.07013888889</v>
      </c>
      <c r="D370" s="6" t="s">
        <v>26</v>
      </c>
      <c r="E370" s="9">
        <v>39980.0</v>
      </c>
      <c r="F370" s="6" t="s">
        <v>27</v>
      </c>
    </row>
    <row r="371" ht="21.0" customHeight="1">
      <c r="A371" s="6" t="s">
        <v>1026</v>
      </c>
      <c r="B371" s="6" t="s">
        <v>1027</v>
      </c>
      <c r="C371" s="8">
        <v>46298.23819444444</v>
      </c>
      <c r="D371" s="6" t="s">
        <v>26</v>
      </c>
      <c r="E371" s="9">
        <v>15990.0</v>
      </c>
      <c r="F371" s="6" t="s">
        <v>30</v>
      </c>
    </row>
    <row r="372" ht="21.0" customHeight="1">
      <c r="A372" s="6" t="s">
        <v>1028</v>
      </c>
      <c r="B372" s="6" t="s">
        <v>1029</v>
      </c>
      <c r="C372" s="8">
        <v>46298.342361111114</v>
      </c>
      <c r="D372" s="6" t="s">
        <v>26</v>
      </c>
      <c r="E372" s="9">
        <v>19990.0</v>
      </c>
      <c r="F372" s="6" t="s">
        <v>27</v>
      </c>
    </row>
    <row r="373" ht="21.0" customHeight="1">
      <c r="A373" s="6" t="s">
        <v>1030</v>
      </c>
      <c r="B373" s="6" t="s">
        <v>1031</v>
      </c>
      <c r="C373" s="8">
        <v>46298.42916666667</v>
      </c>
      <c r="D373" s="6" t="s">
        <v>26</v>
      </c>
      <c r="E373" s="9">
        <v>12990.0</v>
      </c>
      <c r="F373" s="6" t="s">
        <v>27</v>
      </c>
    </row>
    <row r="374" ht="21.0" customHeight="1">
      <c r="A374" s="6" t="s">
        <v>1033</v>
      </c>
      <c r="B374" s="6" t="s">
        <v>1034</v>
      </c>
      <c r="C374" s="8">
        <v>46298.61111111111</v>
      </c>
      <c r="D374" s="6" t="s">
        <v>26</v>
      </c>
      <c r="E374" s="9">
        <v>24990.0</v>
      </c>
      <c r="F374" s="6" t="s">
        <v>30</v>
      </c>
    </row>
    <row r="375" ht="21.0" customHeight="1">
      <c r="A375" s="6" t="s">
        <v>1036</v>
      </c>
      <c r="B375" s="6" t="s">
        <v>1037</v>
      </c>
      <c r="C375" s="8">
        <v>46298.74930555555</v>
      </c>
      <c r="D375" s="6" t="s">
        <v>26</v>
      </c>
      <c r="E375" s="9">
        <v>17980.0</v>
      </c>
      <c r="F375" s="6" t="s">
        <v>27</v>
      </c>
    </row>
    <row r="376" ht="21.0" customHeight="1">
      <c r="A376" s="6" t="s">
        <v>1038</v>
      </c>
      <c r="B376" s="6" t="s">
        <v>1039</v>
      </c>
      <c r="C376" s="8">
        <v>46298.885416666664</v>
      </c>
      <c r="D376" s="6" t="s">
        <v>26</v>
      </c>
      <c r="E376" s="9">
        <v>12990.0</v>
      </c>
      <c r="F376" s="6" t="s">
        <v>43</v>
      </c>
    </row>
    <row r="377" ht="21.0" customHeight="1">
      <c r="A377" s="6" t="s">
        <v>1041</v>
      </c>
      <c r="B377" s="6" t="s">
        <v>1042</v>
      </c>
      <c r="C377" s="8">
        <v>46298.961805555555</v>
      </c>
      <c r="D377" s="6" t="s">
        <v>26</v>
      </c>
      <c r="E377" s="9">
        <v>24990.0</v>
      </c>
      <c r="F377" s="6" t="s">
        <v>43</v>
      </c>
    </row>
    <row r="378" ht="21.0" customHeight="1">
      <c r="A378" s="6" t="s">
        <v>1043</v>
      </c>
      <c r="B378" s="6" t="s">
        <v>1044</v>
      </c>
      <c r="C378" s="8">
        <v>46299.123611111114</v>
      </c>
      <c r="D378" s="6" t="s">
        <v>26</v>
      </c>
      <c r="E378" s="9">
        <v>24990.0</v>
      </c>
      <c r="F378" s="6" t="s">
        <v>43</v>
      </c>
    </row>
    <row r="379" ht="21.0" customHeight="1">
      <c r="A379" s="6" t="s">
        <v>1045</v>
      </c>
      <c r="B379" s="6" t="s">
        <v>1047</v>
      </c>
      <c r="C379" s="8">
        <v>46299.25555555556</v>
      </c>
      <c r="D379" s="6" t="s">
        <v>26</v>
      </c>
      <c r="E379" s="9">
        <v>19990.0</v>
      </c>
      <c r="F379" s="6" t="s">
        <v>30</v>
      </c>
    </row>
    <row r="380" ht="21.0" customHeight="1">
      <c r="A380" s="6" t="s">
        <v>1048</v>
      </c>
      <c r="B380" s="6" t="s">
        <v>1049</v>
      </c>
      <c r="C380" s="8">
        <v>46299.35138888889</v>
      </c>
      <c r="D380" s="6" t="s">
        <v>26</v>
      </c>
      <c r="E380" s="9">
        <v>34990.0</v>
      </c>
      <c r="F380" s="6" t="s">
        <v>30</v>
      </c>
    </row>
    <row r="381" ht="21.0" customHeight="1">
      <c r="A381" s="6" t="s">
        <v>1050</v>
      </c>
      <c r="B381" s="6" t="s">
        <v>1051</v>
      </c>
      <c r="C381" s="8">
        <v>46299.486805555556</v>
      </c>
      <c r="D381" s="6" t="s">
        <v>26</v>
      </c>
      <c r="E381" s="9">
        <v>8990.0</v>
      </c>
      <c r="F381" s="6" t="s">
        <v>43</v>
      </c>
    </row>
    <row r="382" ht="21.0" customHeight="1">
      <c r="A382" s="6" t="s">
        <v>1053</v>
      </c>
      <c r="B382" s="6" t="s">
        <v>1054</v>
      </c>
      <c r="C382" s="8">
        <v>46299.60555555556</v>
      </c>
      <c r="D382" s="6" t="s">
        <v>26</v>
      </c>
      <c r="E382" s="9">
        <v>12990.0</v>
      </c>
      <c r="F382" s="6" t="s">
        <v>27</v>
      </c>
    </row>
    <row r="383" ht="21.0" customHeight="1">
      <c r="A383" s="6" t="s">
        <v>1055</v>
      </c>
      <c r="B383" s="6" t="s">
        <v>1056</v>
      </c>
      <c r="C383" s="8">
        <v>46299.782638888886</v>
      </c>
      <c r="D383" s="6" t="s">
        <v>26</v>
      </c>
      <c r="E383" s="9">
        <v>19990.0</v>
      </c>
      <c r="F383" s="6" t="s">
        <v>27</v>
      </c>
    </row>
    <row r="384" ht="21.0" customHeight="1">
      <c r="A384" s="6" t="s">
        <v>1058</v>
      </c>
      <c r="B384" s="6" t="s">
        <v>1059</v>
      </c>
      <c r="C384" s="8">
        <v>46299.893055555556</v>
      </c>
      <c r="D384" s="6" t="s">
        <v>26</v>
      </c>
      <c r="E384" s="9">
        <v>19990.0</v>
      </c>
      <c r="F384" s="6" t="s">
        <v>30</v>
      </c>
    </row>
    <row r="385" ht="21.0" customHeight="1">
      <c r="A385" s="6" t="s">
        <v>1060</v>
      </c>
      <c r="B385" s="6" t="s">
        <v>1061</v>
      </c>
      <c r="C385" s="8">
        <v>46300.03611111111</v>
      </c>
      <c r="D385" s="6" t="s">
        <v>26</v>
      </c>
      <c r="E385" s="9">
        <v>19990.0</v>
      </c>
      <c r="F385" s="6" t="s">
        <v>43</v>
      </c>
    </row>
    <row r="386" ht="21.0" customHeight="1">
      <c r="A386" s="6" t="s">
        <v>1062</v>
      </c>
      <c r="B386" s="6" t="s">
        <v>1063</v>
      </c>
      <c r="C386" s="8">
        <v>46300.16736111111</v>
      </c>
      <c r="D386" s="6" t="s">
        <v>26</v>
      </c>
      <c r="E386" s="9">
        <v>34990.0</v>
      </c>
      <c r="F386" s="6" t="s">
        <v>27</v>
      </c>
    </row>
    <row r="387" ht="21.0" customHeight="1">
      <c r="A387" s="6" t="s">
        <v>1065</v>
      </c>
      <c r="B387" s="6" t="s">
        <v>1066</v>
      </c>
      <c r="C387" s="8">
        <v>46300.290972222225</v>
      </c>
      <c r="D387" s="6" t="s">
        <v>26</v>
      </c>
      <c r="E387" s="9">
        <v>24990.0</v>
      </c>
      <c r="F387" s="6" t="s">
        <v>43</v>
      </c>
    </row>
    <row r="388" ht="21.0" customHeight="1">
      <c r="A388" s="6" t="s">
        <v>1067</v>
      </c>
      <c r="B388" s="6" t="s">
        <v>1068</v>
      </c>
      <c r="C388" s="8">
        <v>46300.43819444445</v>
      </c>
      <c r="D388" s="6" t="s">
        <v>26</v>
      </c>
      <c r="E388" s="9">
        <v>34990.0</v>
      </c>
      <c r="F388" s="6" t="s">
        <v>27</v>
      </c>
    </row>
    <row r="389" ht="21.0" customHeight="1">
      <c r="A389" s="6" t="s">
        <v>1070</v>
      </c>
      <c r="B389" s="6" t="s">
        <v>1071</v>
      </c>
      <c r="C389" s="8">
        <v>46300.50347222222</v>
      </c>
      <c r="D389" s="6" t="s">
        <v>26</v>
      </c>
      <c r="E389" s="9">
        <v>17980.0</v>
      </c>
      <c r="F389" s="6" t="s">
        <v>27</v>
      </c>
    </row>
    <row r="390" ht="21.0" customHeight="1">
      <c r="A390" s="6" t="s">
        <v>1072</v>
      </c>
      <c r="B390" s="6" t="s">
        <v>1073</v>
      </c>
      <c r="C390" s="8">
        <v>46300.652083333334</v>
      </c>
      <c r="D390" s="6" t="s">
        <v>26</v>
      </c>
      <c r="E390" s="9">
        <v>34990.0</v>
      </c>
      <c r="F390" s="6" t="s">
        <v>43</v>
      </c>
    </row>
    <row r="391" ht="21.0" customHeight="1">
      <c r="A391" s="6" t="s">
        <v>1074</v>
      </c>
      <c r="B391" s="6" t="s">
        <v>1075</v>
      </c>
      <c r="C391" s="8">
        <v>46300.8125</v>
      </c>
      <c r="D391" s="6" t="s">
        <v>26</v>
      </c>
      <c r="E391" s="9">
        <v>15990.0</v>
      </c>
      <c r="F391" s="6" t="s">
        <v>43</v>
      </c>
    </row>
    <row r="392" ht="21.0" customHeight="1">
      <c r="A392" s="6" t="s">
        <v>1077</v>
      </c>
      <c r="B392" s="6" t="s">
        <v>1078</v>
      </c>
      <c r="C392" s="8">
        <v>46300.910416666666</v>
      </c>
      <c r="D392" s="6" t="s">
        <v>26</v>
      </c>
      <c r="E392" s="9">
        <v>24990.0</v>
      </c>
      <c r="F392" s="6" t="s">
        <v>30</v>
      </c>
    </row>
    <row r="393" ht="21.0" customHeight="1">
      <c r="A393" s="6" t="s">
        <v>1079</v>
      </c>
      <c r="B393" s="6" t="s">
        <v>1080</v>
      </c>
      <c r="C393" s="8">
        <v>46301.055555555555</v>
      </c>
      <c r="D393" s="6" t="s">
        <v>26</v>
      </c>
      <c r="E393" s="9">
        <v>31980.0</v>
      </c>
      <c r="F393" s="6" t="s">
        <v>27</v>
      </c>
    </row>
    <row r="394" ht="21.0" customHeight="1">
      <c r="A394" s="6" t="s">
        <v>1082</v>
      </c>
      <c r="B394" s="6" t="s">
        <v>1083</v>
      </c>
      <c r="C394" s="8">
        <v>46301.20347222222</v>
      </c>
      <c r="D394" s="6" t="s">
        <v>26</v>
      </c>
      <c r="E394" s="9">
        <v>39980.0</v>
      </c>
      <c r="F394" s="6" t="s">
        <v>43</v>
      </c>
    </row>
    <row r="395" ht="21.0" customHeight="1">
      <c r="A395" s="6" t="s">
        <v>1084</v>
      </c>
      <c r="B395" s="6" t="s">
        <v>1085</v>
      </c>
      <c r="C395" s="8">
        <v>46301.2875</v>
      </c>
      <c r="D395" s="6" t="s">
        <v>26</v>
      </c>
      <c r="E395" s="9">
        <v>25980.0</v>
      </c>
      <c r="F395" s="6" t="s">
        <v>43</v>
      </c>
    </row>
    <row r="396" ht="21.0" customHeight="1">
      <c r="A396" s="6" t="s">
        <v>1086</v>
      </c>
      <c r="B396" s="6" t="s">
        <v>1087</v>
      </c>
      <c r="C396" s="8">
        <v>46301.45</v>
      </c>
      <c r="D396" s="6" t="s">
        <v>26</v>
      </c>
      <c r="E396" s="9">
        <v>15990.0</v>
      </c>
      <c r="F396" s="6" t="s">
        <v>30</v>
      </c>
    </row>
    <row r="397" ht="21.0" customHeight="1">
      <c r="A397" s="6" t="s">
        <v>1089</v>
      </c>
      <c r="B397" s="6" t="s">
        <v>1090</v>
      </c>
      <c r="C397" s="8">
        <v>46301.53472222222</v>
      </c>
      <c r="D397" s="6" t="s">
        <v>26</v>
      </c>
      <c r="E397" s="9">
        <v>31980.0</v>
      </c>
      <c r="F397" s="6" t="s">
        <v>30</v>
      </c>
    </row>
    <row r="398" ht="21.0" customHeight="1">
      <c r="A398" s="6" t="s">
        <v>1091</v>
      </c>
      <c r="B398" s="6" t="s">
        <v>1092</v>
      </c>
      <c r="C398" s="8">
        <v>46301.71944444445</v>
      </c>
      <c r="D398" s="6" t="s">
        <v>26</v>
      </c>
      <c r="E398" s="9">
        <v>34990.0</v>
      </c>
      <c r="F398" s="6" t="s">
        <v>43</v>
      </c>
    </row>
    <row r="399" ht="21.0" customHeight="1">
      <c r="A399" s="6" t="s">
        <v>1094</v>
      </c>
      <c r="B399" s="6" t="s">
        <v>1095</v>
      </c>
      <c r="C399" s="8">
        <v>46301.69652777778</v>
      </c>
      <c r="D399" s="6" t="s">
        <v>26</v>
      </c>
      <c r="E399" s="9">
        <v>34990.0</v>
      </c>
      <c r="F399" s="6" t="s">
        <v>27</v>
      </c>
    </row>
    <row r="400" ht="21.0" customHeight="1">
      <c r="A400" s="6" t="s">
        <v>1096</v>
      </c>
      <c r="B400" s="6" t="s">
        <v>1097</v>
      </c>
      <c r="C400" s="8">
        <v>46301.96111111111</v>
      </c>
      <c r="D400" s="6" t="s">
        <v>26</v>
      </c>
      <c r="E400" s="9">
        <v>12990.0</v>
      </c>
      <c r="F400" s="6" t="s">
        <v>30</v>
      </c>
    </row>
    <row r="401" ht="21.0" customHeight="1">
      <c r="A401" s="6" t="s">
        <v>1099</v>
      </c>
      <c r="B401" s="6" t="s">
        <v>1100</v>
      </c>
      <c r="C401" s="8">
        <v>46302.080555555556</v>
      </c>
      <c r="D401" s="6" t="s">
        <v>26</v>
      </c>
      <c r="E401" s="9">
        <v>34990.0</v>
      </c>
      <c r="F401" s="6" t="s">
        <v>30</v>
      </c>
    </row>
    <row r="402" ht="21.0" customHeight="1">
      <c r="A402" s="6" t="s">
        <v>1101</v>
      </c>
      <c r="B402" s="6" t="s">
        <v>1102</v>
      </c>
      <c r="C402" s="8">
        <v>46302.21944444445</v>
      </c>
      <c r="D402" s="6" t="s">
        <v>26</v>
      </c>
      <c r="E402" s="9">
        <v>17980.0</v>
      </c>
      <c r="F402" s="6" t="s">
        <v>27</v>
      </c>
    </row>
    <row r="403" ht="21.0" customHeight="1">
      <c r="A403" s="6" t="s">
        <v>1104</v>
      </c>
      <c r="B403" s="6" t="s">
        <v>1105</v>
      </c>
      <c r="C403" s="8">
        <v>46302.32986111111</v>
      </c>
      <c r="D403" s="6" t="s">
        <v>26</v>
      </c>
      <c r="E403" s="9">
        <v>8990.0</v>
      </c>
      <c r="F403" s="6" t="s">
        <v>30</v>
      </c>
    </row>
    <row r="404" ht="21.0" customHeight="1">
      <c r="A404" s="6" t="s">
        <v>1106</v>
      </c>
      <c r="B404" s="6" t="s">
        <v>1107</v>
      </c>
      <c r="C404" s="8">
        <v>46302.45972222222</v>
      </c>
      <c r="D404" s="6" t="s">
        <v>26</v>
      </c>
      <c r="E404" s="9">
        <v>19990.0</v>
      </c>
      <c r="F404" s="6" t="s">
        <v>43</v>
      </c>
    </row>
    <row r="405" ht="21.0" customHeight="1">
      <c r="A405" s="6" t="s">
        <v>1109</v>
      </c>
      <c r="B405" s="6" t="s">
        <v>1110</v>
      </c>
      <c r="C405" s="8">
        <v>46302.57083333333</v>
      </c>
      <c r="D405" s="6" t="s">
        <v>26</v>
      </c>
      <c r="E405" s="9">
        <v>34990.0</v>
      </c>
      <c r="F405" s="6" t="s">
        <v>30</v>
      </c>
    </row>
    <row r="406" ht="21.0" customHeight="1">
      <c r="A406" s="6" t="s">
        <v>1111</v>
      </c>
      <c r="B406" s="6" t="s">
        <v>1112</v>
      </c>
      <c r="C406" s="8">
        <v>46302.75347222222</v>
      </c>
      <c r="D406" s="6" t="s">
        <v>26</v>
      </c>
      <c r="E406" s="9">
        <v>24990.0</v>
      </c>
      <c r="F406" s="6" t="s">
        <v>27</v>
      </c>
    </row>
    <row r="407" ht="21.0" customHeight="1">
      <c r="A407" s="6" t="s">
        <v>1114</v>
      </c>
      <c r="B407" s="6" t="s">
        <v>1115</v>
      </c>
      <c r="C407" s="8">
        <v>46302.82777777778</v>
      </c>
      <c r="D407" s="6" t="s">
        <v>26</v>
      </c>
      <c r="E407" s="9">
        <v>24990.0</v>
      </c>
      <c r="F407" s="6" t="s">
        <v>27</v>
      </c>
    </row>
    <row r="408" ht="21.0" customHeight="1">
      <c r="A408" s="6" t="s">
        <v>1116</v>
      </c>
      <c r="B408" s="6" t="s">
        <v>1117</v>
      </c>
      <c r="C408" s="8">
        <v>46302.96041666667</v>
      </c>
      <c r="D408" s="6" t="s">
        <v>26</v>
      </c>
      <c r="E408" s="9">
        <v>12990.0</v>
      </c>
      <c r="F408" s="6" t="s">
        <v>27</v>
      </c>
    </row>
    <row r="409" ht="21.0" customHeight="1">
      <c r="A409" s="6" t="s">
        <v>1119</v>
      </c>
      <c r="B409" s="6" t="s">
        <v>1120</v>
      </c>
      <c r="C409" s="8">
        <v>46303.07916666667</v>
      </c>
      <c r="D409" s="6" t="s">
        <v>26</v>
      </c>
      <c r="E409" s="9">
        <v>15990.0</v>
      </c>
      <c r="F409" s="6" t="s">
        <v>43</v>
      </c>
    </row>
    <row r="410" ht="21.0" customHeight="1">
      <c r="A410" s="6" t="s">
        <v>1121</v>
      </c>
      <c r="B410" s="6" t="s">
        <v>1122</v>
      </c>
      <c r="C410" s="8">
        <v>46303.225694444445</v>
      </c>
      <c r="D410" s="6" t="s">
        <v>97</v>
      </c>
      <c r="E410" s="9">
        <v>0.0</v>
      </c>
      <c r="F410" s="6" t="s">
        <v>27</v>
      </c>
    </row>
    <row r="411" ht="21.0" customHeight="1">
      <c r="A411" s="6" t="s">
        <v>1124</v>
      </c>
      <c r="B411" s="6" t="s">
        <v>1125</v>
      </c>
      <c r="C411" s="8">
        <v>46303.37777777778</v>
      </c>
      <c r="D411" s="6" t="s">
        <v>26</v>
      </c>
      <c r="E411" s="9">
        <v>25980.0</v>
      </c>
      <c r="F411" s="6" t="s">
        <v>43</v>
      </c>
    </row>
    <row r="412" ht="21.0" customHeight="1">
      <c r="A412" s="6" t="s">
        <v>1126</v>
      </c>
      <c r="B412" s="6" t="s">
        <v>1127</v>
      </c>
      <c r="C412" s="8">
        <v>46303.48263888889</v>
      </c>
      <c r="D412" s="6" t="s">
        <v>26</v>
      </c>
      <c r="E412" s="9">
        <v>34990.0</v>
      </c>
      <c r="F412" s="6" t="s">
        <v>27</v>
      </c>
    </row>
    <row r="413" ht="21.0" customHeight="1">
      <c r="A413" s="6" t="s">
        <v>1128</v>
      </c>
      <c r="B413" s="6" t="s">
        <v>1129</v>
      </c>
      <c r="C413" s="8">
        <v>46303.618055555555</v>
      </c>
      <c r="D413" s="6" t="s">
        <v>26</v>
      </c>
      <c r="E413" s="9">
        <v>12990.0</v>
      </c>
      <c r="F413" s="6" t="s">
        <v>30</v>
      </c>
    </row>
    <row r="414" ht="21.0" customHeight="1">
      <c r="A414" s="6" t="s">
        <v>1131</v>
      </c>
      <c r="B414" s="6" t="s">
        <v>1132</v>
      </c>
      <c r="C414" s="8">
        <v>46303.729166666664</v>
      </c>
      <c r="D414" s="6" t="s">
        <v>26</v>
      </c>
      <c r="E414" s="9">
        <v>8990.0</v>
      </c>
      <c r="F414" s="6" t="s">
        <v>30</v>
      </c>
    </row>
    <row r="415" ht="21.0" customHeight="1">
      <c r="A415" s="6" t="s">
        <v>1133</v>
      </c>
      <c r="B415" s="6" t="s">
        <v>1134</v>
      </c>
      <c r="C415" s="8">
        <v>46303.87013888889</v>
      </c>
      <c r="D415" s="6" t="s">
        <v>26</v>
      </c>
      <c r="E415" s="9">
        <v>19990.0</v>
      </c>
      <c r="F415" s="6" t="s">
        <v>27</v>
      </c>
    </row>
    <row r="416" ht="21.0" customHeight="1">
      <c r="A416" s="6" t="s">
        <v>1136</v>
      </c>
      <c r="B416" s="6" t="s">
        <v>1137</v>
      </c>
      <c r="C416" s="8">
        <v>46304.018055555556</v>
      </c>
      <c r="D416" s="6" t="s">
        <v>26</v>
      </c>
      <c r="E416" s="9">
        <v>24990.0</v>
      </c>
      <c r="F416" s="6" t="s">
        <v>43</v>
      </c>
    </row>
    <row r="417" ht="21.0" customHeight="1">
      <c r="A417" s="6" t="s">
        <v>1138</v>
      </c>
      <c r="B417" s="6" t="s">
        <v>1139</v>
      </c>
      <c r="C417" s="8">
        <v>46304.14791666667</v>
      </c>
      <c r="D417" s="6" t="s">
        <v>26</v>
      </c>
      <c r="E417" s="9">
        <v>15990.0</v>
      </c>
      <c r="F417" s="6" t="s">
        <v>30</v>
      </c>
    </row>
    <row r="418" ht="21.0" customHeight="1">
      <c r="A418" s="6" t="s">
        <v>1140</v>
      </c>
      <c r="B418" s="6" t="s">
        <v>1142</v>
      </c>
      <c r="C418" s="8">
        <v>46304.27569444444</v>
      </c>
      <c r="D418" s="6" t="s">
        <v>26</v>
      </c>
      <c r="E418" s="9">
        <v>38970.0</v>
      </c>
      <c r="F418" s="6" t="s">
        <v>43</v>
      </c>
    </row>
    <row r="419" ht="21.0" customHeight="1">
      <c r="A419" s="6" t="s">
        <v>1143</v>
      </c>
      <c r="B419" s="6" t="s">
        <v>1144</v>
      </c>
      <c r="C419" s="8">
        <v>46304.42638888889</v>
      </c>
      <c r="D419" s="6" t="s">
        <v>26</v>
      </c>
      <c r="E419" s="9">
        <v>12990.0</v>
      </c>
      <c r="F419" s="6" t="s">
        <v>30</v>
      </c>
    </row>
    <row r="420" ht="21.0" customHeight="1">
      <c r="A420" s="6" t="s">
        <v>1145</v>
      </c>
      <c r="B420" s="6" t="s">
        <v>1146</v>
      </c>
      <c r="C420" s="8">
        <v>46304.527083333334</v>
      </c>
      <c r="D420" s="6" t="s">
        <v>125</v>
      </c>
      <c r="E420" s="9">
        <v>0.0</v>
      </c>
      <c r="F420" s="6" t="s">
        <v>43</v>
      </c>
    </row>
    <row r="421" ht="21.0" customHeight="1">
      <c r="A421" s="6" t="s">
        <v>1148</v>
      </c>
      <c r="B421" s="6" t="s">
        <v>1149</v>
      </c>
      <c r="C421" s="8">
        <v>46304.65347222222</v>
      </c>
      <c r="D421" s="6" t="s">
        <v>26</v>
      </c>
      <c r="E421" s="9">
        <v>19990.0</v>
      </c>
      <c r="F421" s="6" t="s">
        <v>43</v>
      </c>
    </row>
    <row r="422" ht="21.0" customHeight="1">
      <c r="A422" s="6" t="s">
        <v>1150</v>
      </c>
      <c r="B422" s="6" t="s">
        <v>1151</v>
      </c>
      <c r="C422" s="8">
        <v>46304.76388888889</v>
      </c>
      <c r="D422" s="6" t="s">
        <v>26</v>
      </c>
      <c r="E422" s="9">
        <v>12990.0</v>
      </c>
      <c r="F422" s="6" t="s">
        <v>30</v>
      </c>
    </row>
    <row r="423" ht="21.0" customHeight="1">
      <c r="A423" s="6" t="s">
        <v>1153</v>
      </c>
      <c r="B423" s="6" t="s">
        <v>1154</v>
      </c>
      <c r="C423" s="8">
        <v>46304.76388888889</v>
      </c>
      <c r="D423" s="6" t="s">
        <v>26</v>
      </c>
      <c r="E423" s="9">
        <v>12990.0</v>
      </c>
      <c r="F423" s="6" t="s">
        <v>43</v>
      </c>
    </row>
    <row r="424" ht="21.0" customHeight="1">
      <c r="A424" s="6" t="s">
        <v>1155</v>
      </c>
      <c r="B424" s="6" t="s">
        <v>1156</v>
      </c>
      <c r="C424" s="8">
        <v>46305.05625</v>
      </c>
      <c r="D424" s="6" t="s">
        <v>26</v>
      </c>
      <c r="E424" s="9">
        <v>12990.0</v>
      </c>
      <c r="F424" s="6" t="s">
        <v>30</v>
      </c>
    </row>
    <row r="425" ht="21.0" customHeight="1">
      <c r="A425" s="6" t="s">
        <v>1157</v>
      </c>
      <c r="B425" s="6" t="s">
        <v>1158</v>
      </c>
      <c r="C425" s="8">
        <v>46305.18958333333</v>
      </c>
      <c r="D425" s="6" t="s">
        <v>26</v>
      </c>
      <c r="E425" s="9">
        <v>12990.0</v>
      </c>
      <c r="F425" s="6" t="s">
        <v>30</v>
      </c>
    </row>
    <row r="426" ht="21.0" customHeight="1">
      <c r="A426" s="6" t="s">
        <v>1160</v>
      </c>
      <c r="B426" s="6" t="s">
        <v>1161</v>
      </c>
      <c r="C426" s="8">
        <v>46305.28472222222</v>
      </c>
      <c r="D426" s="6" t="s">
        <v>26</v>
      </c>
      <c r="E426" s="9">
        <v>34990.0</v>
      </c>
      <c r="F426" s="6" t="s">
        <v>27</v>
      </c>
    </row>
    <row r="427" ht="21.0" customHeight="1">
      <c r="A427" s="6" t="s">
        <v>1162</v>
      </c>
      <c r="B427" s="6" t="s">
        <v>1163</v>
      </c>
      <c r="C427" s="8">
        <v>46305.46597222222</v>
      </c>
      <c r="D427" s="6" t="s">
        <v>26</v>
      </c>
      <c r="E427" s="9">
        <v>19990.0</v>
      </c>
      <c r="F427" s="6" t="s">
        <v>30</v>
      </c>
    </row>
    <row r="428" ht="21.0" customHeight="1">
      <c r="A428" s="6" t="s">
        <v>1165</v>
      </c>
      <c r="B428" s="6" t="s">
        <v>1166</v>
      </c>
      <c r="C428" s="8">
        <v>46305.54722222222</v>
      </c>
      <c r="D428" s="6" t="s">
        <v>26</v>
      </c>
      <c r="E428" s="9">
        <v>15990.0</v>
      </c>
      <c r="F428" s="6" t="s">
        <v>27</v>
      </c>
    </row>
    <row r="429" ht="21.0" customHeight="1">
      <c r="A429" s="6" t="s">
        <v>1167</v>
      </c>
      <c r="B429" s="6" t="s">
        <v>1168</v>
      </c>
      <c r="C429" s="8">
        <v>46305.705555555556</v>
      </c>
      <c r="D429" s="6" t="s">
        <v>26</v>
      </c>
      <c r="E429" s="9">
        <v>49980.0</v>
      </c>
      <c r="F429" s="6" t="s">
        <v>27</v>
      </c>
    </row>
    <row r="430" ht="21.0" customHeight="1">
      <c r="A430" s="6" t="s">
        <v>1169</v>
      </c>
      <c r="B430" s="6" t="s">
        <v>1170</v>
      </c>
      <c r="C430" s="8">
        <v>46305.83472222222</v>
      </c>
      <c r="D430" s="6" t="s">
        <v>26</v>
      </c>
      <c r="E430" s="9">
        <v>8990.0</v>
      </c>
      <c r="F430" s="6" t="s">
        <v>43</v>
      </c>
    </row>
    <row r="431" ht="21.0" customHeight="1">
      <c r="A431" s="6" t="s">
        <v>1171</v>
      </c>
      <c r="B431" s="6" t="s">
        <v>1172</v>
      </c>
      <c r="C431" s="8">
        <v>46305.990277777775</v>
      </c>
      <c r="D431" s="6" t="s">
        <v>26</v>
      </c>
      <c r="E431" s="9">
        <v>15990.0</v>
      </c>
      <c r="F431" s="6" t="s">
        <v>30</v>
      </c>
    </row>
    <row r="432" ht="21.0" customHeight="1">
      <c r="A432" s="6" t="s">
        <v>1173</v>
      </c>
      <c r="B432" s="6" t="s">
        <v>1175</v>
      </c>
      <c r="C432" s="8">
        <v>46306.10625</v>
      </c>
      <c r="D432" s="6" t="s">
        <v>26</v>
      </c>
      <c r="E432" s="9">
        <v>74970.0</v>
      </c>
      <c r="F432" s="6" t="s">
        <v>30</v>
      </c>
    </row>
    <row r="433" ht="21.0" customHeight="1">
      <c r="A433" s="6" t="s">
        <v>1176</v>
      </c>
      <c r="B433" s="6" t="s">
        <v>1177</v>
      </c>
      <c r="C433" s="8">
        <v>46306.21666666667</v>
      </c>
      <c r="D433" s="6" t="s">
        <v>26</v>
      </c>
      <c r="E433" s="9">
        <v>39980.0</v>
      </c>
      <c r="F433" s="6" t="s">
        <v>30</v>
      </c>
    </row>
    <row r="434" ht="21.0" customHeight="1">
      <c r="A434" s="6" t="s">
        <v>1178</v>
      </c>
      <c r="B434" s="6" t="s">
        <v>1179</v>
      </c>
      <c r="C434" s="8">
        <v>46306.34930555556</v>
      </c>
      <c r="D434" s="6" t="s">
        <v>26</v>
      </c>
      <c r="E434" s="9">
        <v>49980.0</v>
      </c>
      <c r="F434" s="6" t="s">
        <v>30</v>
      </c>
    </row>
    <row r="435" ht="21.0" customHeight="1">
      <c r="A435" s="6" t="s">
        <v>1181</v>
      </c>
      <c r="B435" s="6" t="s">
        <v>1182</v>
      </c>
      <c r="C435" s="8">
        <v>46306.46597222222</v>
      </c>
      <c r="D435" s="6" t="s">
        <v>26</v>
      </c>
      <c r="E435" s="9">
        <v>69980.0</v>
      </c>
      <c r="F435" s="6" t="s">
        <v>30</v>
      </c>
    </row>
    <row r="436" ht="21.0" customHeight="1">
      <c r="A436" s="6" t="s">
        <v>1183</v>
      </c>
      <c r="B436" s="6" t="s">
        <v>1184</v>
      </c>
      <c r="C436" s="8">
        <v>46306.62847222222</v>
      </c>
      <c r="D436" s="6" t="s">
        <v>26</v>
      </c>
      <c r="E436" s="9">
        <v>15990.0</v>
      </c>
      <c r="F436" s="6" t="s">
        <v>30</v>
      </c>
    </row>
    <row r="437" ht="21.0" customHeight="1">
      <c r="A437" s="6" t="s">
        <v>1186</v>
      </c>
      <c r="B437" s="6" t="s">
        <v>1187</v>
      </c>
      <c r="C437" s="8">
        <v>46306.72430555556</v>
      </c>
      <c r="D437" s="6" t="s">
        <v>26</v>
      </c>
      <c r="E437" s="9">
        <v>17980.0</v>
      </c>
      <c r="F437" s="6" t="s">
        <v>43</v>
      </c>
    </row>
    <row r="438" ht="21.0" customHeight="1">
      <c r="A438" s="6" t="s">
        <v>1189</v>
      </c>
      <c r="B438" s="6" t="s">
        <v>1190</v>
      </c>
      <c r="C438" s="8">
        <v>46306.847916666666</v>
      </c>
      <c r="D438" s="6" t="s">
        <v>26</v>
      </c>
      <c r="E438" s="9">
        <v>17980.0</v>
      </c>
      <c r="F438" s="6" t="s">
        <v>43</v>
      </c>
    </row>
    <row r="439" ht="21.0" customHeight="1">
      <c r="A439" s="6" t="s">
        <v>1191</v>
      </c>
      <c r="B439" s="6" t="s">
        <v>1192</v>
      </c>
      <c r="C439" s="8">
        <v>46307.0</v>
      </c>
      <c r="D439" s="6" t="s">
        <v>26</v>
      </c>
      <c r="E439" s="9">
        <v>8990.0</v>
      </c>
      <c r="F439" s="6" t="s">
        <v>30</v>
      </c>
    </row>
    <row r="440" ht="21.0" customHeight="1">
      <c r="A440" s="6" t="s">
        <v>1194</v>
      </c>
      <c r="B440" s="6" t="s">
        <v>1195</v>
      </c>
      <c r="C440" s="8">
        <v>46307.09444444445</v>
      </c>
      <c r="D440" s="6" t="s">
        <v>26</v>
      </c>
      <c r="E440" s="9">
        <v>24990.0</v>
      </c>
      <c r="F440" s="6" t="s">
        <v>27</v>
      </c>
    </row>
    <row r="441" ht="21.0" customHeight="1">
      <c r="A441" s="6" t="s">
        <v>1196</v>
      </c>
      <c r="B441" s="6" t="s">
        <v>1197</v>
      </c>
      <c r="C441" s="8">
        <v>46307.24236111111</v>
      </c>
      <c r="D441" s="6" t="s">
        <v>26</v>
      </c>
      <c r="E441" s="9">
        <v>24990.0</v>
      </c>
      <c r="F441" s="6" t="s">
        <v>43</v>
      </c>
    </row>
    <row r="442" ht="21.0" customHeight="1">
      <c r="A442" s="6" t="s">
        <v>1199</v>
      </c>
      <c r="B442" s="6" t="s">
        <v>1200</v>
      </c>
      <c r="C442" s="8">
        <v>46307.395833333336</v>
      </c>
      <c r="D442" s="6" t="s">
        <v>26</v>
      </c>
      <c r="E442" s="9">
        <v>8990.0</v>
      </c>
      <c r="F442" s="6" t="s">
        <v>43</v>
      </c>
    </row>
    <row r="443" ht="21.0" customHeight="1">
      <c r="A443" s="6" t="s">
        <v>1201</v>
      </c>
      <c r="B443" s="6" t="s">
        <v>1202</v>
      </c>
      <c r="C443" s="8">
        <v>46307.47986111111</v>
      </c>
      <c r="D443" s="6" t="s">
        <v>26</v>
      </c>
      <c r="E443" s="9">
        <v>15990.0</v>
      </c>
      <c r="F443" s="6" t="s">
        <v>43</v>
      </c>
    </row>
    <row r="444" ht="21.0" customHeight="1">
      <c r="A444" s="6" t="s">
        <v>1203</v>
      </c>
      <c r="B444" s="6" t="s">
        <v>1204</v>
      </c>
      <c r="C444" s="8">
        <v>46307.604166666664</v>
      </c>
      <c r="D444" s="6" t="s">
        <v>26</v>
      </c>
      <c r="E444" s="9">
        <v>25980.0</v>
      </c>
      <c r="F444" s="6" t="s">
        <v>27</v>
      </c>
    </row>
    <row r="445" ht="21.0" customHeight="1">
      <c r="A445" s="6" t="s">
        <v>1206</v>
      </c>
      <c r="B445" s="6" t="s">
        <v>1207</v>
      </c>
      <c r="C445" s="8">
        <v>46307.76875</v>
      </c>
      <c r="D445" s="6" t="s">
        <v>26</v>
      </c>
      <c r="E445" s="9">
        <v>34990.0</v>
      </c>
      <c r="F445" s="6" t="s">
        <v>27</v>
      </c>
    </row>
    <row r="446" ht="21.0" customHeight="1">
      <c r="A446" s="6" t="s">
        <v>1208</v>
      </c>
      <c r="B446" s="6" t="s">
        <v>1209</v>
      </c>
      <c r="C446" s="8">
        <v>46307.89722222222</v>
      </c>
      <c r="D446" s="6" t="s">
        <v>26</v>
      </c>
      <c r="E446" s="9">
        <v>10980.0</v>
      </c>
      <c r="F446" s="6" t="s">
        <v>27</v>
      </c>
    </row>
    <row r="447" ht="21.0" customHeight="1">
      <c r="A447" s="6" t="s">
        <v>1211</v>
      </c>
      <c r="B447" s="6" t="s">
        <v>1212</v>
      </c>
      <c r="C447" s="8">
        <v>46308.04305555556</v>
      </c>
      <c r="D447" s="6" t="s">
        <v>26</v>
      </c>
      <c r="E447" s="9">
        <v>8990.0</v>
      </c>
      <c r="F447" s="6" t="s">
        <v>43</v>
      </c>
    </row>
    <row r="448" ht="21.0" customHeight="1">
      <c r="A448" s="6" t="s">
        <v>1213</v>
      </c>
      <c r="B448" s="6" t="s">
        <v>1214</v>
      </c>
      <c r="C448" s="8">
        <v>46308.13611111111</v>
      </c>
      <c r="D448" s="6" t="s">
        <v>26</v>
      </c>
      <c r="E448" s="9">
        <v>15990.0</v>
      </c>
      <c r="F448" s="6" t="s">
        <v>43</v>
      </c>
    </row>
    <row r="449" ht="21.0" customHeight="1">
      <c r="A449" s="6" t="s">
        <v>1216</v>
      </c>
      <c r="B449" s="6" t="s">
        <v>1217</v>
      </c>
      <c r="C449" s="8">
        <v>46308.28055555555</v>
      </c>
      <c r="D449" s="6" t="s">
        <v>26</v>
      </c>
      <c r="E449" s="9">
        <v>8990.0</v>
      </c>
      <c r="F449" s="6" t="s">
        <v>27</v>
      </c>
    </row>
    <row r="450" ht="21.0" customHeight="1">
      <c r="A450" s="6" t="s">
        <v>1218</v>
      </c>
      <c r="B450" s="6" t="s">
        <v>1219</v>
      </c>
      <c r="C450" s="8">
        <v>46308.43263888889</v>
      </c>
      <c r="D450" s="6" t="s">
        <v>26</v>
      </c>
      <c r="E450" s="9">
        <v>12990.0</v>
      </c>
      <c r="F450" s="6" t="s">
        <v>43</v>
      </c>
    </row>
    <row r="451" ht="21.0" customHeight="1">
      <c r="A451" s="6" t="s">
        <v>1220</v>
      </c>
      <c r="B451" s="6" t="s">
        <v>1221</v>
      </c>
      <c r="C451" s="8">
        <v>46308.51597222222</v>
      </c>
      <c r="D451" s="6" t="s">
        <v>26</v>
      </c>
      <c r="E451" s="9">
        <v>8990.0</v>
      </c>
      <c r="F451" s="6" t="s">
        <v>30</v>
      </c>
    </row>
    <row r="452" ht="21.0" customHeight="1">
      <c r="A452" s="6" t="s">
        <v>1223</v>
      </c>
      <c r="B452" s="6" t="s">
        <v>1224</v>
      </c>
      <c r="C452" s="8">
        <v>46308.683333333334</v>
      </c>
      <c r="D452" s="6" t="s">
        <v>26</v>
      </c>
      <c r="E452" s="9">
        <v>8990.0</v>
      </c>
      <c r="F452" s="6" t="s">
        <v>43</v>
      </c>
    </row>
    <row r="453" ht="21.0" customHeight="1">
      <c r="A453" s="6" t="s">
        <v>1225</v>
      </c>
      <c r="B453" s="6" t="s">
        <v>1226</v>
      </c>
      <c r="C453" s="8">
        <v>46308.78194444445</v>
      </c>
      <c r="D453" s="6" t="s">
        <v>26</v>
      </c>
      <c r="E453" s="9">
        <v>34990.0</v>
      </c>
      <c r="F453" s="6" t="s">
        <v>43</v>
      </c>
    </row>
    <row r="454" ht="21.0" customHeight="1">
      <c r="A454" s="6" t="s">
        <v>1228</v>
      </c>
      <c r="B454" s="6" t="s">
        <v>1229</v>
      </c>
      <c r="C454" s="8">
        <v>46308.93680555555</v>
      </c>
      <c r="D454" s="6" t="s">
        <v>26</v>
      </c>
      <c r="E454" s="9">
        <v>19990.0</v>
      </c>
      <c r="F454" s="6" t="s">
        <v>27</v>
      </c>
    </row>
    <row r="455" ht="21.0" customHeight="1">
      <c r="A455" s="6" t="s">
        <v>1230</v>
      </c>
      <c r="B455" s="6" t="s">
        <v>1231</v>
      </c>
      <c r="C455" s="8">
        <v>46309.075</v>
      </c>
      <c r="D455" s="6" t="s">
        <v>26</v>
      </c>
      <c r="E455" s="9">
        <v>39980.0</v>
      </c>
      <c r="F455" s="6" t="s">
        <v>27</v>
      </c>
    </row>
    <row r="456" ht="21.0" customHeight="1">
      <c r="A456" s="6" t="s">
        <v>1233</v>
      </c>
      <c r="B456" s="6" t="s">
        <v>1234</v>
      </c>
      <c r="C456" s="8">
        <v>46309.197916666664</v>
      </c>
      <c r="D456" s="6" t="s">
        <v>26</v>
      </c>
      <c r="E456" s="9">
        <v>15990.0</v>
      </c>
      <c r="F456" s="6" t="s">
        <v>30</v>
      </c>
    </row>
    <row r="457" ht="21.0" customHeight="1">
      <c r="A457" s="6" t="s">
        <v>1235</v>
      </c>
      <c r="B457" s="6" t="s">
        <v>1236</v>
      </c>
      <c r="C457" s="8">
        <v>46309.34861111111</v>
      </c>
      <c r="D457" s="6" t="s">
        <v>26</v>
      </c>
      <c r="E457" s="9">
        <v>34990.0</v>
      </c>
      <c r="F457" s="6" t="s">
        <v>43</v>
      </c>
    </row>
    <row r="458" ht="21.0" customHeight="1">
      <c r="A458" s="6" t="s">
        <v>1238</v>
      </c>
      <c r="B458" s="6" t="s">
        <v>1239</v>
      </c>
      <c r="C458" s="8">
        <v>46309.29652777778</v>
      </c>
      <c r="D458" s="6" t="s">
        <v>26</v>
      </c>
      <c r="E458" s="9">
        <v>34990.0</v>
      </c>
      <c r="F458" s="6" t="s">
        <v>27</v>
      </c>
    </row>
    <row r="459" ht="21.0" customHeight="1">
      <c r="A459" s="6" t="s">
        <v>1240</v>
      </c>
      <c r="B459" s="6" t="s">
        <v>1241</v>
      </c>
      <c r="C459" s="8">
        <v>46309.57708333333</v>
      </c>
      <c r="D459" s="6" t="s">
        <v>26</v>
      </c>
      <c r="E459" s="9">
        <v>34990.0</v>
      </c>
      <c r="F459" s="6" t="s">
        <v>43</v>
      </c>
    </row>
    <row r="460" ht="21.0" customHeight="1">
      <c r="A460" s="6" t="s">
        <v>1243</v>
      </c>
      <c r="B460" s="6" t="s">
        <v>1244</v>
      </c>
      <c r="C460" s="8">
        <v>46309.708333333336</v>
      </c>
      <c r="D460" s="6" t="s">
        <v>26</v>
      </c>
      <c r="E460" s="9">
        <v>25980.0</v>
      </c>
      <c r="F460" s="6" t="s">
        <v>27</v>
      </c>
    </row>
    <row r="461" ht="21.0" customHeight="1">
      <c r="A461" s="6" t="s">
        <v>1245</v>
      </c>
      <c r="B461" s="6" t="s">
        <v>1246</v>
      </c>
      <c r="C461" s="8">
        <v>46309.836805555555</v>
      </c>
      <c r="D461" s="6" t="s">
        <v>26</v>
      </c>
      <c r="E461" s="9">
        <v>17980.0</v>
      </c>
      <c r="F461" s="6" t="s">
        <v>30</v>
      </c>
    </row>
    <row r="462" ht="21.0" customHeight="1">
      <c r="A462" s="6" t="s">
        <v>1247</v>
      </c>
      <c r="B462" s="6" t="s">
        <v>1248</v>
      </c>
      <c r="C462" s="8">
        <v>46309.93819444445</v>
      </c>
      <c r="D462" s="6" t="s">
        <v>97</v>
      </c>
      <c r="E462" s="9">
        <v>0.0</v>
      </c>
      <c r="F462" s="6" t="s">
        <v>43</v>
      </c>
    </row>
    <row r="463" ht="21.0" customHeight="1">
      <c r="A463" s="6" t="s">
        <v>1250</v>
      </c>
      <c r="B463" s="6" t="s">
        <v>1251</v>
      </c>
      <c r="C463" s="8">
        <v>46310.058333333334</v>
      </c>
      <c r="D463" s="6" t="s">
        <v>26</v>
      </c>
      <c r="E463" s="9">
        <v>19990.0</v>
      </c>
      <c r="F463" s="6" t="s">
        <v>30</v>
      </c>
    </row>
    <row r="464" ht="21.0" customHeight="1">
      <c r="A464" s="6" t="s">
        <v>1252</v>
      </c>
      <c r="B464" s="6" t="s">
        <v>1253</v>
      </c>
      <c r="C464" s="8">
        <v>46310.228472222225</v>
      </c>
      <c r="D464" s="6" t="s">
        <v>26</v>
      </c>
      <c r="E464" s="9">
        <v>26970.0</v>
      </c>
      <c r="F464" s="6" t="s">
        <v>27</v>
      </c>
    </row>
    <row r="465" ht="21.0" customHeight="1">
      <c r="A465" s="6" t="s">
        <v>1255</v>
      </c>
      <c r="B465" s="6" t="s">
        <v>1256</v>
      </c>
      <c r="C465" s="8">
        <v>46310.34027777778</v>
      </c>
      <c r="D465" s="6" t="s">
        <v>26</v>
      </c>
      <c r="E465" s="9">
        <v>15990.0</v>
      </c>
      <c r="F465" s="6" t="s">
        <v>43</v>
      </c>
    </row>
    <row r="466" ht="21.0" customHeight="1">
      <c r="A466" s="6" t="s">
        <v>1257</v>
      </c>
      <c r="B466" s="6" t="s">
        <v>1258</v>
      </c>
      <c r="C466" s="8">
        <v>46310.47777777778</v>
      </c>
      <c r="D466" s="6" t="s">
        <v>26</v>
      </c>
      <c r="E466" s="9">
        <v>17980.0</v>
      </c>
      <c r="F466" s="6" t="s">
        <v>43</v>
      </c>
    </row>
    <row r="467" ht="21.0" customHeight="1">
      <c r="A467" s="6" t="s">
        <v>1260</v>
      </c>
      <c r="B467" s="6" t="s">
        <v>1261</v>
      </c>
      <c r="C467" s="8">
        <v>46310.60555555556</v>
      </c>
      <c r="D467" s="6" t="s">
        <v>26</v>
      </c>
      <c r="E467" s="9">
        <v>12990.0</v>
      </c>
      <c r="F467" s="6" t="s">
        <v>27</v>
      </c>
    </row>
    <row r="468" ht="21.0" customHeight="1">
      <c r="A468" s="6" t="s">
        <v>1262</v>
      </c>
      <c r="B468" s="6" t="s">
        <v>1263</v>
      </c>
      <c r="C468" s="8">
        <v>46310.74722222222</v>
      </c>
      <c r="D468" s="6" t="s">
        <v>26</v>
      </c>
      <c r="E468" s="9">
        <v>8990.0</v>
      </c>
      <c r="F468" s="6" t="s">
        <v>43</v>
      </c>
    </row>
    <row r="469" ht="21.0" customHeight="1">
      <c r="A469" s="6" t="s">
        <v>1264</v>
      </c>
      <c r="B469" s="6" t="s">
        <v>1265</v>
      </c>
      <c r="C469" s="8">
        <v>46310.84583333333</v>
      </c>
      <c r="D469" s="6" t="s">
        <v>26</v>
      </c>
      <c r="E469" s="9">
        <v>31980.0</v>
      </c>
      <c r="F469" s="6" t="s">
        <v>30</v>
      </c>
    </row>
    <row r="470" ht="21.0" customHeight="1">
      <c r="A470" s="6" t="s">
        <v>1267</v>
      </c>
      <c r="B470" s="6" t="s">
        <v>1268</v>
      </c>
      <c r="C470" s="8">
        <v>46311.010416666664</v>
      </c>
      <c r="D470" s="6" t="s">
        <v>26</v>
      </c>
      <c r="E470" s="9">
        <v>34990.0</v>
      </c>
      <c r="F470" s="6" t="s">
        <v>30</v>
      </c>
    </row>
    <row r="471" ht="21.0" customHeight="1">
      <c r="A471" s="6" t="s">
        <v>1269</v>
      </c>
      <c r="B471" s="6" t="s">
        <v>1270</v>
      </c>
      <c r="C471" s="8">
        <v>46311.1375</v>
      </c>
      <c r="D471" s="6" t="s">
        <v>26</v>
      </c>
      <c r="E471" s="9">
        <v>12990.0</v>
      </c>
      <c r="F471" s="6" t="s">
        <v>43</v>
      </c>
    </row>
    <row r="472" ht="21.0" customHeight="1">
      <c r="A472" s="6" t="s">
        <v>1272</v>
      </c>
      <c r="B472" s="6" t="s">
        <v>1273</v>
      </c>
      <c r="C472" s="8">
        <v>46311.28680555556</v>
      </c>
      <c r="D472" s="6" t="s">
        <v>26</v>
      </c>
      <c r="E472" s="9">
        <v>19990.0</v>
      </c>
      <c r="F472" s="6" t="s">
        <v>30</v>
      </c>
    </row>
    <row r="473" ht="21.0" customHeight="1">
      <c r="A473" s="6" t="s">
        <v>1274</v>
      </c>
      <c r="B473" s="6" t="s">
        <v>1275</v>
      </c>
      <c r="C473" s="8">
        <v>46311.35555555556</v>
      </c>
      <c r="D473" s="6" t="s">
        <v>26</v>
      </c>
      <c r="E473" s="9">
        <v>19990.0</v>
      </c>
      <c r="F473" s="6" t="s">
        <v>43</v>
      </c>
    </row>
    <row r="474" ht="21.0" customHeight="1">
      <c r="A474" s="6" t="s">
        <v>1276</v>
      </c>
      <c r="B474" s="6" t="s">
        <v>1277</v>
      </c>
      <c r="C474" s="8">
        <v>46311.5375</v>
      </c>
      <c r="D474" s="6" t="s">
        <v>26</v>
      </c>
      <c r="E474" s="9">
        <v>15990.0</v>
      </c>
      <c r="F474" s="6" t="s">
        <v>27</v>
      </c>
    </row>
    <row r="475" ht="21.0" customHeight="1">
      <c r="A475" s="6" t="s">
        <v>1279</v>
      </c>
      <c r="B475" s="6" t="s">
        <v>1280</v>
      </c>
      <c r="C475" s="8">
        <v>46311.666666666664</v>
      </c>
      <c r="D475" s="6" t="s">
        <v>26</v>
      </c>
      <c r="E475" s="9">
        <v>19990.0</v>
      </c>
      <c r="F475" s="6" t="s">
        <v>27</v>
      </c>
    </row>
    <row r="476" ht="21.0" customHeight="1">
      <c r="A476" s="6" t="s">
        <v>1281</v>
      </c>
      <c r="B476" s="6" t="s">
        <v>1282</v>
      </c>
      <c r="C476" s="8">
        <v>46311.7625</v>
      </c>
      <c r="D476" s="6" t="s">
        <v>26</v>
      </c>
      <c r="E476" s="9">
        <v>2000.0</v>
      </c>
      <c r="F476" s="6" t="s">
        <v>43</v>
      </c>
    </row>
    <row r="477" ht="21.0" customHeight="1">
      <c r="A477" s="6" t="s">
        <v>1284</v>
      </c>
      <c r="B477" s="6" t="s">
        <v>1285</v>
      </c>
      <c r="C477" s="8">
        <v>46311.885416666664</v>
      </c>
      <c r="D477" s="6" t="s">
        <v>26</v>
      </c>
      <c r="E477" s="9">
        <v>8990.0</v>
      </c>
      <c r="F477" s="6" t="s">
        <v>43</v>
      </c>
    </row>
    <row r="478" ht="21.0" customHeight="1">
      <c r="A478" s="6" t="s">
        <v>1286</v>
      </c>
      <c r="B478" s="6" t="s">
        <v>1287</v>
      </c>
      <c r="C478" s="8">
        <v>46312.02916666667</v>
      </c>
      <c r="D478" s="6" t="s">
        <v>26</v>
      </c>
      <c r="E478" s="9">
        <v>34990.0</v>
      </c>
      <c r="F478" s="6" t="s">
        <v>27</v>
      </c>
    </row>
    <row r="479" ht="21.0" customHeight="1">
      <c r="A479" s="6" t="s">
        <v>1289</v>
      </c>
      <c r="B479" s="6" t="s">
        <v>1290</v>
      </c>
      <c r="C479" s="8">
        <v>46312.16736111111</v>
      </c>
      <c r="D479" s="6" t="s">
        <v>26</v>
      </c>
      <c r="E479" s="9">
        <v>15990.0</v>
      </c>
      <c r="F479" s="6" t="s">
        <v>27</v>
      </c>
    </row>
    <row r="480" ht="21.0" customHeight="1">
      <c r="A480" s="6" t="s">
        <v>1291</v>
      </c>
      <c r="B480" s="6" t="s">
        <v>1292</v>
      </c>
      <c r="C480" s="8">
        <v>46312.28125</v>
      </c>
      <c r="D480" s="6" t="s">
        <v>26</v>
      </c>
      <c r="E480" s="9">
        <v>24990.0</v>
      </c>
      <c r="F480" s="6" t="s">
        <v>30</v>
      </c>
    </row>
    <row r="481" ht="21.0" customHeight="1">
      <c r="A481" s="6" t="s">
        <v>1293</v>
      </c>
      <c r="B481" s="6" t="s">
        <v>1294</v>
      </c>
      <c r="C481" s="8">
        <v>46312.44652777778</v>
      </c>
      <c r="D481" s="6" t="s">
        <v>26</v>
      </c>
      <c r="E481" s="9">
        <v>24990.0</v>
      </c>
      <c r="F481" s="6" t="s">
        <v>27</v>
      </c>
    </row>
    <row r="482" ht="21.0" customHeight="1">
      <c r="A482" s="6" t="s">
        <v>1296</v>
      </c>
      <c r="B482" s="6" t="s">
        <v>1297</v>
      </c>
      <c r="C482" s="8">
        <v>46312.55902777778</v>
      </c>
      <c r="D482" s="6" t="s">
        <v>26</v>
      </c>
      <c r="E482" s="9">
        <v>19990.0</v>
      </c>
      <c r="F482" s="6" t="s">
        <v>43</v>
      </c>
    </row>
    <row r="483" ht="21.0" customHeight="1">
      <c r="A483" s="6" t="s">
        <v>1298</v>
      </c>
      <c r="B483" s="6" t="s">
        <v>1299</v>
      </c>
      <c r="C483" s="8">
        <v>46312.64444444444</v>
      </c>
      <c r="D483" s="6" t="s">
        <v>26</v>
      </c>
      <c r="E483" s="9">
        <v>19990.0</v>
      </c>
      <c r="F483" s="6" t="s">
        <v>43</v>
      </c>
    </row>
    <row r="484" ht="21.0" customHeight="1">
      <c r="A484" s="6" t="s">
        <v>1301</v>
      </c>
      <c r="B484" s="6" t="s">
        <v>1302</v>
      </c>
      <c r="C484" s="8">
        <v>46312.7875</v>
      </c>
      <c r="D484" s="6" t="s">
        <v>26</v>
      </c>
      <c r="E484" s="9">
        <v>24990.0</v>
      </c>
      <c r="F484" s="6" t="s">
        <v>43</v>
      </c>
    </row>
    <row r="485" ht="21.0" customHeight="1">
      <c r="A485" s="6" t="s">
        <v>1303</v>
      </c>
      <c r="B485" s="6" t="s">
        <v>1304</v>
      </c>
      <c r="C485" s="8">
        <v>46312.94027777778</v>
      </c>
      <c r="D485" s="6" t="s">
        <v>26</v>
      </c>
      <c r="E485" s="9">
        <v>8990.0</v>
      </c>
      <c r="F485" s="6" t="s">
        <v>27</v>
      </c>
    </row>
    <row r="486" ht="21.0" customHeight="1">
      <c r="A486" s="6" t="s">
        <v>1305</v>
      </c>
      <c r="B486" s="6" t="s">
        <v>1306</v>
      </c>
      <c r="C486" s="8">
        <v>46313.04513888889</v>
      </c>
      <c r="D486" s="6" t="s">
        <v>26</v>
      </c>
      <c r="E486" s="9">
        <v>19990.0</v>
      </c>
      <c r="F486" s="6" t="s">
        <v>30</v>
      </c>
    </row>
    <row r="487" ht="21.0" customHeight="1">
      <c r="A487" s="6" t="s">
        <v>1308</v>
      </c>
      <c r="B487" s="6" t="s">
        <v>1309</v>
      </c>
      <c r="C487" s="8">
        <v>46313.197222222225</v>
      </c>
      <c r="D487" s="6" t="s">
        <v>26</v>
      </c>
      <c r="E487" s="9">
        <v>19990.0</v>
      </c>
      <c r="F487" s="6" t="s">
        <v>30</v>
      </c>
    </row>
    <row r="488" ht="21.0" customHeight="1">
      <c r="A488" s="6" t="s">
        <v>1310</v>
      </c>
      <c r="B488" s="6" t="s">
        <v>1311</v>
      </c>
      <c r="C488" s="8">
        <v>46313.32013888889</v>
      </c>
      <c r="D488" s="6" t="s">
        <v>26</v>
      </c>
      <c r="E488" s="9">
        <v>8990.0</v>
      </c>
      <c r="F488" s="6" t="s">
        <v>43</v>
      </c>
    </row>
    <row r="489" ht="21.0" customHeight="1">
      <c r="A489" s="6" t="s">
        <v>1313</v>
      </c>
      <c r="B489" s="6" t="s">
        <v>1314</v>
      </c>
      <c r="C489" s="8">
        <v>46313.35555555556</v>
      </c>
      <c r="D489" s="6" t="s">
        <v>26</v>
      </c>
      <c r="E489" s="9">
        <v>8990.0</v>
      </c>
      <c r="F489" s="6" t="s">
        <v>27</v>
      </c>
    </row>
    <row r="490" ht="21.0" customHeight="1">
      <c r="A490" s="6" t="s">
        <v>1315</v>
      </c>
      <c r="B490" s="6" t="s">
        <v>1316</v>
      </c>
      <c r="C490" s="8">
        <v>46313.57083333333</v>
      </c>
      <c r="D490" s="6" t="s">
        <v>26</v>
      </c>
      <c r="E490" s="9">
        <v>17980.0</v>
      </c>
      <c r="F490" s="6" t="s">
        <v>43</v>
      </c>
    </row>
    <row r="491" ht="21.0" customHeight="1">
      <c r="A491" s="6" t="s">
        <v>1318</v>
      </c>
      <c r="B491" s="6" t="s">
        <v>1319</v>
      </c>
      <c r="C491" s="8">
        <v>46313.69027777778</v>
      </c>
      <c r="D491" s="6" t="s">
        <v>26</v>
      </c>
      <c r="E491" s="9">
        <v>19990.0</v>
      </c>
      <c r="F491" s="6" t="s">
        <v>27</v>
      </c>
    </row>
    <row r="492" ht="21.0" customHeight="1">
      <c r="A492" s="6" t="s">
        <v>1320</v>
      </c>
      <c r="B492" s="6" t="s">
        <v>1321</v>
      </c>
      <c r="C492" s="8">
        <v>46313.81180555555</v>
      </c>
      <c r="D492" s="6" t="s">
        <v>26</v>
      </c>
      <c r="E492" s="9">
        <v>19990.0</v>
      </c>
      <c r="F492" s="6" t="s">
        <v>43</v>
      </c>
    </row>
    <row r="493" ht="21.0" customHeight="1">
      <c r="A493" s="6" t="s">
        <v>1322</v>
      </c>
      <c r="B493" s="6" t="s">
        <v>1323</v>
      </c>
      <c r="C493" s="8">
        <v>46313.964583333334</v>
      </c>
      <c r="D493" s="6" t="s">
        <v>26</v>
      </c>
      <c r="E493" s="9">
        <v>59970.0</v>
      </c>
      <c r="F493" s="6" t="s">
        <v>30</v>
      </c>
    </row>
    <row r="494" ht="21.0" customHeight="1">
      <c r="A494" s="6" t="s">
        <v>1325</v>
      </c>
      <c r="B494" s="6" t="s">
        <v>1326</v>
      </c>
      <c r="C494" s="8">
        <v>46314.07986111111</v>
      </c>
      <c r="D494" s="6" t="s">
        <v>26</v>
      </c>
      <c r="E494" s="9">
        <v>12990.0</v>
      </c>
      <c r="F494" s="6" t="s">
        <v>43</v>
      </c>
    </row>
    <row r="495" ht="21.0" customHeight="1">
      <c r="A495" s="6" t="s">
        <v>1327</v>
      </c>
      <c r="B495" s="6" t="s">
        <v>1328</v>
      </c>
      <c r="C495" s="8">
        <v>46314.19236111111</v>
      </c>
      <c r="D495" s="6" t="s">
        <v>26</v>
      </c>
      <c r="E495" s="9">
        <v>24990.0</v>
      </c>
      <c r="F495" s="6" t="s">
        <v>30</v>
      </c>
    </row>
    <row r="496" ht="21.0" customHeight="1">
      <c r="A496" s="6" t="s">
        <v>1330</v>
      </c>
      <c r="B496" s="6" t="s">
        <v>1331</v>
      </c>
      <c r="C496" s="8">
        <v>46314.325</v>
      </c>
      <c r="D496" s="6" t="s">
        <v>26</v>
      </c>
      <c r="E496" s="9">
        <v>49980.0</v>
      </c>
      <c r="F496" s="6" t="s">
        <v>30</v>
      </c>
    </row>
    <row r="497" ht="21.0" customHeight="1">
      <c r="A497" s="6" t="s">
        <v>1332</v>
      </c>
      <c r="B497" s="6" t="s">
        <v>1333</v>
      </c>
      <c r="C497" s="8">
        <v>46314.49166666667</v>
      </c>
      <c r="D497" s="6" t="s">
        <v>26</v>
      </c>
      <c r="E497" s="9">
        <v>19990.0</v>
      </c>
      <c r="F497" s="6" t="s">
        <v>30</v>
      </c>
    </row>
    <row r="498" ht="21.0" customHeight="1">
      <c r="A498" s="6" t="s">
        <v>1334</v>
      </c>
      <c r="B498" s="6" t="s">
        <v>1336</v>
      </c>
      <c r="C498" s="8">
        <v>46314.61041666667</v>
      </c>
      <c r="D498" s="6" t="s">
        <v>26</v>
      </c>
      <c r="E498" s="9">
        <v>25980.0</v>
      </c>
      <c r="F498" s="6" t="s">
        <v>27</v>
      </c>
    </row>
    <row r="499" ht="21.0" customHeight="1">
      <c r="A499" s="6" t="s">
        <v>1337</v>
      </c>
      <c r="B499" s="6" t="s">
        <v>1338</v>
      </c>
      <c r="C499" s="8">
        <v>46314.76666666667</v>
      </c>
      <c r="D499" s="6" t="s">
        <v>26</v>
      </c>
      <c r="E499" s="9">
        <v>8990.0</v>
      </c>
      <c r="F499" s="6" t="s">
        <v>43</v>
      </c>
    </row>
    <row r="500" ht="21.0" customHeight="1">
      <c r="A500" s="6" t="s">
        <v>1339</v>
      </c>
      <c r="B500" s="6" t="s">
        <v>1340</v>
      </c>
      <c r="C500" s="8">
        <v>46314.839583333334</v>
      </c>
      <c r="D500" s="6" t="s">
        <v>26</v>
      </c>
      <c r="E500" s="9">
        <v>34990.0</v>
      </c>
      <c r="F500" s="6" t="s">
        <v>43</v>
      </c>
    </row>
    <row r="501" ht="21.0" customHeight="1">
      <c r="A501" s="6" t="s">
        <v>1342</v>
      </c>
      <c r="B501" s="6" t="s">
        <v>1343</v>
      </c>
      <c r="C501" s="8">
        <v>46314.99166666667</v>
      </c>
      <c r="D501" s="6" t="s">
        <v>26</v>
      </c>
      <c r="E501" s="9">
        <v>8990.0</v>
      </c>
      <c r="F501" s="6" t="s">
        <v>43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0"/>
    <col customWidth="1" min="3" max="3" width="23.0"/>
    <col customWidth="1" min="4" max="4" width="21.0"/>
    <col customWidth="1" min="5" max="6" width="20.0"/>
    <col customWidth="1" min="7" max="26" width="8.63"/>
  </cols>
  <sheetData>
    <row r="1" ht="28.5" customHeight="1">
      <c r="A1" s="2" t="s">
        <v>1349</v>
      </c>
      <c r="B1" s="2" t="s">
        <v>2</v>
      </c>
      <c r="C1" s="2" t="s">
        <v>1351</v>
      </c>
      <c r="D1" s="2" t="s">
        <v>1352</v>
      </c>
      <c r="E1" s="2" t="s">
        <v>1353</v>
      </c>
      <c r="F1" s="2" t="s">
        <v>1354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 t="s">
        <v>1356</v>
      </c>
      <c r="B2" s="6" t="s">
        <v>24</v>
      </c>
      <c r="C2" s="27">
        <v>46256.0</v>
      </c>
      <c r="D2" s="27">
        <v>46256.0</v>
      </c>
      <c r="E2" s="6" t="s">
        <v>1358</v>
      </c>
      <c r="F2" s="6" t="s">
        <v>1359</v>
      </c>
    </row>
    <row r="3" ht="21.0" customHeight="1">
      <c r="A3" s="6" t="s">
        <v>1361</v>
      </c>
      <c r="B3" s="6" t="s">
        <v>29</v>
      </c>
      <c r="C3" s="27">
        <v>46254.0</v>
      </c>
      <c r="D3" s="27">
        <v>46252.0</v>
      </c>
      <c r="E3" s="6" t="s">
        <v>1358</v>
      </c>
      <c r="F3" s="6" t="s">
        <v>1362</v>
      </c>
    </row>
    <row r="4" ht="21.0" customHeight="1">
      <c r="A4" s="6" t="s">
        <v>1363</v>
      </c>
      <c r="B4" s="6" t="s">
        <v>33</v>
      </c>
      <c r="C4" s="27">
        <v>46256.0</v>
      </c>
      <c r="D4" s="27">
        <v>46257.0</v>
      </c>
      <c r="E4" s="6" t="s">
        <v>1358</v>
      </c>
      <c r="F4" s="6" t="s">
        <v>1362</v>
      </c>
    </row>
    <row r="5" ht="21.0" customHeight="1">
      <c r="A5" s="6" t="s">
        <v>1365</v>
      </c>
      <c r="B5" s="6" t="s">
        <v>37</v>
      </c>
      <c r="C5" s="27">
        <v>46254.0</v>
      </c>
      <c r="D5" s="27">
        <v>46254.0</v>
      </c>
      <c r="E5" s="6" t="s">
        <v>1358</v>
      </c>
      <c r="F5" s="6" t="s">
        <v>1362</v>
      </c>
    </row>
    <row r="6" ht="21.0" customHeight="1">
      <c r="A6" s="6" t="s">
        <v>1366</v>
      </c>
      <c r="B6" s="6" t="s">
        <v>41</v>
      </c>
      <c r="C6" s="27">
        <v>46256.0</v>
      </c>
      <c r="D6" s="27">
        <v>46256.0</v>
      </c>
      <c r="E6" s="6" t="s">
        <v>1358</v>
      </c>
      <c r="F6" s="6" t="s">
        <v>1367</v>
      </c>
    </row>
    <row r="7" ht="21.0" customHeight="1">
      <c r="A7" s="6" t="s">
        <v>1369</v>
      </c>
      <c r="B7" s="6" t="s">
        <v>46</v>
      </c>
      <c r="C7" s="27">
        <v>46256.0</v>
      </c>
      <c r="D7" s="27">
        <v>46255.0</v>
      </c>
      <c r="E7" s="6" t="s">
        <v>1358</v>
      </c>
      <c r="F7" s="6" t="s">
        <v>1362</v>
      </c>
    </row>
    <row r="8" ht="21.0" customHeight="1">
      <c r="A8" s="6" t="s">
        <v>1370</v>
      </c>
      <c r="B8" s="6" t="s">
        <v>50</v>
      </c>
      <c r="C8" s="27">
        <v>46258.0</v>
      </c>
      <c r="D8" s="27">
        <v>46258.0</v>
      </c>
      <c r="E8" s="6" t="s">
        <v>1358</v>
      </c>
      <c r="F8" s="6" t="s">
        <v>1359</v>
      </c>
    </row>
    <row r="9" ht="21.0" customHeight="1">
      <c r="A9" s="6" t="s">
        <v>1372</v>
      </c>
      <c r="B9" s="6" t="s">
        <v>53</v>
      </c>
      <c r="C9" s="27">
        <v>46254.0</v>
      </c>
      <c r="D9" s="27">
        <v>46254.0</v>
      </c>
      <c r="E9" s="6" t="s">
        <v>1358</v>
      </c>
      <c r="F9" s="6" t="s">
        <v>1367</v>
      </c>
    </row>
    <row r="10" ht="21.0" customHeight="1">
      <c r="A10" s="6" t="s">
        <v>1373</v>
      </c>
      <c r="B10" s="6" t="s">
        <v>57</v>
      </c>
      <c r="C10" s="27">
        <v>46258.0</v>
      </c>
      <c r="D10" s="27">
        <v>46256.0</v>
      </c>
      <c r="E10" s="6" t="s">
        <v>1358</v>
      </c>
      <c r="F10" s="6" t="s">
        <v>1362</v>
      </c>
    </row>
    <row r="11" ht="21.0" customHeight="1">
      <c r="A11" s="6" t="s">
        <v>1374</v>
      </c>
      <c r="B11" s="6" t="s">
        <v>60</v>
      </c>
      <c r="C11" s="27">
        <v>46256.0</v>
      </c>
      <c r="D11" s="27">
        <v>46256.0</v>
      </c>
      <c r="E11" s="6" t="s">
        <v>1358</v>
      </c>
      <c r="F11" s="6" t="s">
        <v>1367</v>
      </c>
    </row>
    <row r="12" ht="21.0" customHeight="1">
      <c r="A12" s="6" t="s">
        <v>1376</v>
      </c>
      <c r="B12" s="6" t="s">
        <v>63</v>
      </c>
      <c r="C12" s="27">
        <v>46254.0</v>
      </c>
      <c r="D12" s="27">
        <v>46254.0</v>
      </c>
      <c r="E12" s="6" t="s">
        <v>1358</v>
      </c>
      <c r="F12" s="6" t="s">
        <v>1359</v>
      </c>
    </row>
    <row r="13" ht="21.0" customHeight="1">
      <c r="A13" s="6" t="s">
        <v>1377</v>
      </c>
      <c r="B13" s="6" t="s">
        <v>65</v>
      </c>
      <c r="C13" s="27">
        <v>46255.0</v>
      </c>
      <c r="D13" s="27">
        <v>46255.0</v>
      </c>
      <c r="E13" s="6" t="s">
        <v>1358</v>
      </c>
      <c r="F13" s="6" t="s">
        <v>1362</v>
      </c>
    </row>
    <row r="14" ht="21.0" customHeight="1">
      <c r="A14" s="6" t="s">
        <v>1378</v>
      </c>
      <c r="B14" s="6" t="s">
        <v>68</v>
      </c>
      <c r="C14" s="27">
        <v>46256.0</v>
      </c>
      <c r="D14" s="27">
        <v>46258.0</v>
      </c>
      <c r="E14" s="6" t="s">
        <v>1358</v>
      </c>
      <c r="F14" s="6" t="s">
        <v>1359</v>
      </c>
    </row>
    <row r="15" ht="21.0" customHeight="1">
      <c r="A15" s="6" t="s">
        <v>1380</v>
      </c>
      <c r="B15" s="6" t="s">
        <v>72</v>
      </c>
      <c r="C15" s="27">
        <v>46256.0</v>
      </c>
      <c r="D15" s="27">
        <v>46258.0</v>
      </c>
      <c r="E15" s="6" t="s">
        <v>1358</v>
      </c>
      <c r="F15" s="6" t="s">
        <v>1359</v>
      </c>
    </row>
    <row r="16" ht="21.0" customHeight="1">
      <c r="A16" s="6" t="s">
        <v>1381</v>
      </c>
      <c r="B16" s="6" t="s">
        <v>74</v>
      </c>
      <c r="C16" s="27">
        <v>46256.0</v>
      </c>
      <c r="D16" s="27">
        <v>46257.0</v>
      </c>
      <c r="E16" s="6" t="s">
        <v>1358</v>
      </c>
      <c r="F16" s="6" t="s">
        <v>1362</v>
      </c>
    </row>
    <row r="17" ht="21.0" customHeight="1">
      <c r="A17" s="6" t="s">
        <v>1382</v>
      </c>
      <c r="B17" s="6" t="s">
        <v>77</v>
      </c>
      <c r="C17" s="27">
        <v>46255.0</v>
      </c>
      <c r="D17" s="27">
        <v>46255.0</v>
      </c>
      <c r="E17" s="6" t="s">
        <v>1358</v>
      </c>
      <c r="F17" s="6" t="s">
        <v>1367</v>
      </c>
    </row>
    <row r="18" ht="21.0" customHeight="1">
      <c r="A18" s="6" t="s">
        <v>1384</v>
      </c>
      <c r="B18" s="6" t="s">
        <v>80</v>
      </c>
      <c r="C18" s="27">
        <v>46255.0</v>
      </c>
      <c r="D18" s="27">
        <v>46255.0</v>
      </c>
      <c r="E18" s="6" t="s">
        <v>1358</v>
      </c>
      <c r="F18" s="6" t="s">
        <v>1367</v>
      </c>
    </row>
    <row r="19" ht="21.0" customHeight="1">
      <c r="A19" s="6" t="s">
        <v>1385</v>
      </c>
      <c r="B19" s="6" t="s">
        <v>84</v>
      </c>
      <c r="C19" s="27">
        <v>46255.0</v>
      </c>
      <c r="D19" s="27">
        <v>46255.0</v>
      </c>
      <c r="E19" s="6" t="s">
        <v>1358</v>
      </c>
      <c r="F19" s="6" t="s">
        <v>1359</v>
      </c>
    </row>
    <row r="20" ht="21.0" customHeight="1">
      <c r="A20" s="6" t="s">
        <v>1387</v>
      </c>
      <c r="B20" s="6" t="s">
        <v>86</v>
      </c>
      <c r="C20" s="27">
        <v>46255.0</v>
      </c>
      <c r="D20" s="27">
        <v>46254.0</v>
      </c>
      <c r="E20" s="6" t="s">
        <v>1358</v>
      </c>
      <c r="F20" s="6" t="s">
        <v>1359</v>
      </c>
    </row>
    <row r="21" ht="21.0" customHeight="1">
      <c r="A21" s="6" t="s">
        <v>1388</v>
      </c>
      <c r="B21" s="6" t="s">
        <v>89</v>
      </c>
      <c r="C21" s="27">
        <v>46306.0</v>
      </c>
      <c r="D21" s="27"/>
      <c r="E21" s="6" t="s">
        <v>1389</v>
      </c>
      <c r="F21" s="6" t="s">
        <v>1359</v>
      </c>
    </row>
    <row r="22" ht="21.0" customHeight="1">
      <c r="A22" s="6" t="s">
        <v>1390</v>
      </c>
      <c r="B22" s="6" t="s">
        <v>92</v>
      </c>
      <c r="C22" s="27">
        <v>46258.0</v>
      </c>
      <c r="D22" s="27">
        <v>46258.0</v>
      </c>
      <c r="E22" s="6" t="s">
        <v>1358</v>
      </c>
      <c r="F22" s="6" t="s">
        <v>1367</v>
      </c>
    </row>
    <row r="23" ht="21.0" customHeight="1">
      <c r="A23" s="6" t="s">
        <v>1392</v>
      </c>
      <c r="B23" s="6" t="s">
        <v>95</v>
      </c>
      <c r="C23" s="27">
        <v>46260.0</v>
      </c>
      <c r="D23" s="27"/>
      <c r="E23" s="6" t="s">
        <v>97</v>
      </c>
      <c r="F23" s="6" t="s">
        <v>1367</v>
      </c>
    </row>
    <row r="24" ht="21.0" customHeight="1">
      <c r="A24" s="6" t="s">
        <v>1393</v>
      </c>
      <c r="B24" s="6" t="s">
        <v>99</v>
      </c>
      <c r="C24" s="27">
        <v>46257.0</v>
      </c>
      <c r="D24" s="27">
        <v>46255.0</v>
      </c>
      <c r="E24" s="6" t="s">
        <v>1358</v>
      </c>
      <c r="F24" s="6" t="s">
        <v>1367</v>
      </c>
    </row>
    <row r="25" ht="21.0" customHeight="1">
      <c r="A25" s="6" t="s">
        <v>1395</v>
      </c>
      <c r="B25" s="6" t="s">
        <v>102</v>
      </c>
      <c r="C25" s="27">
        <v>46257.0</v>
      </c>
      <c r="D25" s="27">
        <v>46256.0</v>
      </c>
      <c r="E25" s="6" t="s">
        <v>1358</v>
      </c>
      <c r="F25" s="6" t="s">
        <v>1362</v>
      </c>
    </row>
    <row r="26" ht="21.0" customHeight="1">
      <c r="A26" s="6" t="s">
        <v>1396</v>
      </c>
      <c r="B26" s="6" t="s">
        <v>105</v>
      </c>
      <c r="C26" s="27">
        <v>46258.0</v>
      </c>
      <c r="D26" s="27">
        <v>46259.0</v>
      </c>
      <c r="E26" s="6" t="s">
        <v>1358</v>
      </c>
      <c r="F26" s="6" t="s">
        <v>1367</v>
      </c>
    </row>
    <row r="27" ht="21.0" customHeight="1">
      <c r="A27" s="6" t="s">
        <v>1398</v>
      </c>
      <c r="B27" s="6" t="s">
        <v>107</v>
      </c>
      <c r="C27" s="27">
        <v>46259.0</v>
      </c>
      <c r="D27" s="27">
        <v>46259.0</v>
      </c>
      <c r="E27" s="6" t="s">
        <v>1358</v>
      </c>
      <c r="F27" s="6" t="s">
        <v>1362</v>
      </c>
    </row>
    <row r="28" ht="21.0" customHeight="1">
      <c r="A28" s="6" t="s">
        <v>1399</v>
      </c>
      <c r="B28" s="6" t="s">
        <v>110</v>
      </c>
      <c r="C28" s="27">
        <v>46257.0</v>
      </c>
      <c r="D28" s="27">
        <v>46259.0</v>
      </c>
      <c r="E28" s="6" t="s">
        <v>1358</v>
      </c>
      <c r="F28" s="6" t="s">
        <v>1367</v>
      </c>
    </row>
    <row r="29" ht="21.0" customHeight="1">
      <c r="A29" s="6" t="s">
        <v>1400</v>
      </c>
      <c r="B29" s="6" t="s">
        <v>113</v>
      </c>
      <c r="C29" s="27">
        <v>46257.0</v>
      </c>
      <c r="D29" s="27">
        <v>46258.0</v>
      </c>
      <c r="E29" s="6" t="s">
        <v>1358</v>
      </c>
      <c r="F29" s="6" t="s">
        <v>1367</v>
      </c>
    </row>
    <row r="30" ht="21.0" customHeight="1">
      <c r="A30" s="6" t="s">
        <v>1402</v>
      </c>
      <c r="B30" s="6" t="s">
        <v>116</v>
      </c>
      <c r="C30" s="27">
        <v>46310.0</v>
      </c>
      <c r="D30" s="27"/>
      <c r="E30" s="6" t="s">
        <v>1389</v>
      </c>
      <c r="F30" s="6" t="s">
        <v>1367</v>
      </c>
    </row>
    <row r="31" ht="21.0" customHeight="1">
      <c r="A31" s="6" t="s">
        <v>1403</v>
      </c>
      <c r="B31" s="6" t="s">
        <v>120</v>
      </c>
      <c r="C31" s="27">
        <v>46260.0</v>
      </c>
      <c r="D31" s="27">
        <v>46260.0</v>
      </c>
      <c r="E31" s="6" t="s">
        <v>1358</v>
      </c>
      <c r="F31" s="6" t="s">
        <v>1359</v>
      </c>
    </row>
    <row r="32" ht="21.0" customHeight="1">
      <c r="A32" s="6" t="s">
        <v>1405</v>
      </c>
      <c r="B32" s="6" t="s">
        <v>123</v>
      </c>
      <c r="C32" s="27">
        <v>46257.0</v>
      </c>
      <c r="D32" s="27"/>
      <c r="E32" s="6" t="s">
        <v>97</v>
      </c>
      <c r="F32" s="6" t="s">
        <v>1362</v>
      </c>
    </row>
    <row r="33" ht="21.0" customHeight="1">
      <c r="A33" s="6" t="s">
        <v>1406</v>
      </c>
      <c r="B33" s="6" t="s">
        <v>127</v>
      </c>
      <c r="C33" s="27">
        <v>46261.0</v>
      </c>
      <c r="D33" s="27">
        <v>46260.0</v>
      </c>
      <c r="E33" s="6" t="s">
        <v>1358</v>
      </c>
      <c r="F33" s="6" t="s">
        <v>1362</v>
      </c>
    </row>
    <row r="34" ht="21.0" customHeight="1">
      <c r="A34" s="6" t="s">
        <v>1407</v>
      </c>
      <c r="B34" s="6" t="s">
        <v>130</v>
      </c>
      <c r="C34" s="27">
        <v>46261.0</v>
      </c>
      <c r="D34" s="27">
        <v>46259.0</v>
      </c>
      <c r="E34" s="6" t="s">
        <v>1358</v>
      </c>
      <c r="F34" s="6" t="s">
        <v>1362</v>
      </c>
    </row>
    <row r="35" ht="21.0" customHeight="1">
      <c r="A35" s="6" t="s">
        <v>1409</v>
      </c>
      <c r="B35" s="6" t="s">
        <v>133</v>
      </c>
      <c r="C35" s="27">
        <v>46259.0</v>
      </c>
      <c r="D35" s="27">
        <v>46258.0</v>
      </c>
      <c r="E35" s="6" t="s">
        <v>1358</v>
      </c>
      <c r="F35" s="6" t="s">
        <v>1359</v>
      </c>
    </row>
    <row r="36" ht="21.0" customHeight="1">
      <c r="A36" s="6" t="s">
        <v>1410</v>
      </c>
      <c r="B36" s="6" t="s">
        <v>135</v>
      </c>
      <c r="C36" s="27">
        <v>46261.0</v>
      </c>
      <c r="D36" s="27">
        <v>46260.0</v>
      </c>
      <c r="E36" s="6" t="s">
        <v>1358</v>
      </c>
      <c r="F36" s="6" t="s">
        <v>1362</v>
      </c>
    </row>
    <row r="37" ht="21.0" customHeight="1">
      <c r="A37" s="6" t="s">
        <v>1412</v>
      </c>
      <c r="B37" s="6" t="s">
        <v>138</v>
      </c>
      <c r="C37" s="27">
        <v>46258.0</v>
      </c>
      <c r="D37" s="27">
        <v>46260.0</v>
      </c>
      <c r="E37" s="6" t="s">
        <v>1358</v>
      </c>
      <c r="F37" s="6" t="s">
        <v>1362</v>
      </c>
    </row>
    <row r="38" ht="21.0" customHeight="1">
      <c r="A38" s="6" t="s">
        <v>1413</v>
      </c>
      <c r="B38" s="6" t="s">
        <v>141</v>
      </c>
      <c r="C38" s="27">
        <v>46260.0</v>
      </c>
      <c r="D38" s="27">
        <v>46261.0</v>
      </c>
      <c r="E38" s="6" t="s">
        <v>1358</v>
      </c>
      <c r="F38" s="6" t="s">
        <v>1362</v>
      </c>
    </row>
    <row r="39" ht="21.0" customHeight="1">
      <c r="A39" s="6" t="s">
        <v>1415</v>
      </c>
      <c r="B39" s="6" t="s">
        <v>144</v>
      </c>
      <c r="C39" s="27">
        <v>46258.0</v>
      </c>
      <c r="D39" s="27">
        <v>46258.0</v>
      </c>
      <c r="E39" s="6" t="s">
        <v>1358</v>
      </c>
      <c r="F39" s="6" t="s">
        <v>1359</v>
      </c>
    </row>
    <row r="40" ht="21.0" customHeight="1">
      <c r="A40" s="6" t="s">
        <v>1416</v>
      </c>
      <c r="B40" s="6" t="s">
        <v>146</v>
      </c>
      <c r="C40" s="27">
        <v>46259.0</v>
      </c>
      <c r="D40" s="27">
        <v>46259.0</v>
      </c>
      <c r="E40" s="6" t="s">
        <v>1358</v>
      </c>
      <c r="F40" s="6" t="s">
        <v>1367</v>
      </c>
    </row>
    <row r="41" ht="21.0" customHeight="1">
      <c r="A41" s="6" t="s">
        <v>1417</v>
      </c>
      <c r="B41" s="6" t="s">
        <v>149</v>
      </c>
      <c r="C41" s="27">
        <v>46262.0</v>
      </c>
      <c r="D41" s="27">
        <v>46262.0</v>
      </c>
      <c r="E41" s="6" t="s">
        <v>1358</v>
      </c>
      <c r="F41" s="6" t="s">
        <v>1367</v>
      </c>
    </row>
    <row r="42" ht="21.0" customHeight="1">
      <c r="A42" s="6" t="s">
        <v>1419</v>
      </c>
      <c r="B42" s="6" t="s">
        <v>152</v>
      </c>
      <c r="C42" s="27">
        <v>46262.0</v>
      </c>
      <c r="D42" s="27">
        <v>46260.0</v>
      </c>
      <c r="E42" s="6" t="s">
        <v>1358</v>
      </c>
      <c r="F42" s="6" t="s">
        <v>1359</v>
      </c>
    </row>
    <row r="43" ht="21.0" customHeight="1">
      <c r="A43" s="6" t="s">
        <v>1420</v>
      </c>
      <c r="B43" s="6" t="s">
        <v>155</v>
      </c>
      <c r="C43" s="27">
        <v>46258.0</v>
      </c>
      <c r="D43" s="27">
        <v>46258.0</v>
      </c>
      <c r="E43" s="6" t="s">
        <v>1358</v>
      </c>
      <c r="F43" s="6" t="s">
        <v>1359</v>
      </c>
    </row>
    <row r="44" ht="21.0" customHeight="1">
      <c r="A44" s="6" t="s">
        <v>1422</v>
      </c>
      <c r="B44" s="6" t="s">
        <v>157</v>
      </c>
      <c r="C44" s="27">
        <v>46261.0</v>
      </c>
      <c r="D44" s="27">
        <v>46260.0</v>
      </c>
      <c r="E44" s="6" t="s">
        <v>1358</v>
      </c>
      <c r="F44" s="6" t="s">
        <v>1362</v>
      </c>
    </row>
    <row r="45" ht="21.0" customHeight="1">
      <c r="A45" s="6" t="s">
        <v>1423</v>
      </c>
      <c r="B45" s="6" t="s">
        <v>160</v>
      </c>
      <c r="C45" s="27">
        <v>46263.0</v>
      </c>
      <c r="D45" s="27">
        <v>46265.0</v>
      </c>
      <c r="E45" s="6" t="s">
        <v>1358</v>
      </c>
      <c r="F45" s="6" t="s">
        <v>1359</v>
      </c>
    </row>
    <row r="46" ht="21.0" customHeight="1">
      <c r="A46" s="6" t="s">
        <v>1425</v>
      </c>
      <c r="B46" s="6" t="s">
        <v>163</v>
      </c>
      <c r="C46" s="27">
        <v>46262.0</v>
      </c>
      <c r="D46" s="27">
        <v>46262.0</v>
      </c>
      <c r="E46" s="6" t="s">
        <v>1358</v>
      </c>
      <c r="F46" s="6" t="s">
        <v>1359</v>
      </c>
    </row>
    <row r="47" ht="21.0" customHeight="1">
      <c r="A47" s="6" t="s">
        <v>1426</v>
      </c>
      <c r="B47" s="6" t="s">
        <v>166</v>
      </c>
      <c r="C47" s="27">
        <v>46306.0</v>
      </c>
      <c r="D47" s="27"/>
      <c r="E47" s="6" t="s">
        <v>1389</v>
      </c>
      <c r="F47" s="6" t="s">
        <v>1359</v>
      </c>
    </row>
    <row r="48" ht="21.0" customHeight="1">
      <c r="A48" s="6" t="s">
        <v>1428</v>
      </c>
      <c r="B48" s="6" t="s">
        <v>168</v>
      </c>
      <c r="C48" s="27">
        <v>46262.0</v>
      </c>
      <c r="D48" s="27">
        <v>46261.0</v>
      </c>
      <c r="E48" s="6" t="s">
        <v>1358</v>
      </c>
      <c r="F48" s="6" t="s">
        <v>1362</v>
      </c>
    </row>
    <row r="49" ht="21.0" customHeight="1">
      <c r="A49" s="6" t="s">
        <v>1429</v>
      </c>
      <c r="B49" s="6" t="s">
        <v>171</v>
      </c>
      <c r="C49" s="27">
        <v>46259.0</v>
      </c>
      <c r="D49" s="27">
        <v>46260.0</v>
      </c>
      <c r="E49" s="6" t="s">
        <v>1358</v>
      </c>
      <c r="F49" s="6" t="s">
        <v>1362</v>
      </c>
    </row>
    <row r="50" ht="21.0" customHeight="1">
      <c r="A50" s="6" t="s">
        <v>1431</v>
      </c>
      <c r="B50" s="6" t="s">
        <v>174</v>
      </c>
      <c r="C50" s="27">
        <v>46259.0</v>
      </c>
      <c r="D50" s="27">
        <v>46259.0</v>
      </c>
      <c r="E50" s="6" t="s">
        <v>1358</v>
      </c>
      <c r="F50" s="6" t="s">
        <v>1367</v>
      </c>
    </row>
    <row r="51" ht="21.0" customHeight="1">
      <c r="A51" s="6" t="s">
        <v>1432</v>
      </c>
      <c r="B51" s="6" t="s">
        <v>176</v>
      </c>
      <c r="C51" s="27">
        <v>46259.0</v>
      </c>
      <c r="D51" s="27">
        <v>46257.0</v>
      </c>
      <c r="E51" s="6" t="s">
        <v>1358</v>
      </c>
      <c r="F51" s="6" t="s">
        <v>1367</v>
      </c>
    </row>
    <row r="52" ht="21.0" customHeight="1">
      <c r="A52" s="6" t="s">
        <v>1434</v>
      </c>
      <c r="B52" s="6" t="s">
        <v>179</v>
      </c>
      <c r="C52" s="27">
        <v>46263.0</v>
      </c>
      <c r="D52" s="27">
        <v>46263.0</v>
      </c>
      <c r="E52" s="6" t="s">
        <v>1358</v>
      </c>
      <c r="F52" s="6" t="s">
        <v>1362</v>
      </c>
    </row>
    <row r="53" ht="21.0" customHeight="1">
      <c r="A53" s="6" t="s">
        <v>1435</v>
      </c>
      <c r="B53" s="6" t="s">
        <v>182</v>
      </c>
      <c r="C53" s="27">
        <v>46264.0</v>
      </c>
      <c r="D53" s="27">
        <v>46264.0</v>
      </c>
      <c r="E53" s="6" t="s">
        <v>1358</v>
      </c>
      <c r="F53" s="6" t="s">
        <v>1367</v>
      </c>
    </row>
    <row r="54" ht="21.0" customHeight="1">
      <c r="A54" s="6" t="s">
        <v>1437</v>
      </c>
      <c r="B54" s="6" t="s">
        <v>184</v>
      </c>
      <c r="C54" s="27">
        <v>46264.0</v>
      </c>
      <c r="D54" s="27">
        <v>46264.0</v>
      </c>
      <c r="E54" s="6" t="s">
        <v>1358</v>
      </c>
      <c r="F54" s="6" t="s">
        <v>1367</v>
      </c>
    </row>
    <row r="55" ht="21.0" customHeight="1">
      <c r="A55" s="6" t="s">
        <v>1438</v>
      </c>
      <c r="B55" s="6" t="s">
        <v>187</v>
      </c>
      <c r="C55" s="27">
        <v>46262.0</v>
      </c>
      <c r="D55" s="27">
        <v>46262.0</v>
      </c>
      <c r="E55" s="6" t="s">
        <v>1358</v>
      </c>
      <c r="F55" s="6" t="s">
        <v>1362</v>
      </c>
    </row>
    <row r="56" ht="21.0" customHeight="1">
      <c r="A56" s="6" t="s">
        <v>1439</v>
      </c>
      <c r="B56" s="6" t="s">
        <v>189</v>
      </c>
      <c r="C56" s="27">
        <v>46315.0</v>
      </c>
      <c r="D56" s="27"/>
      <c r="E56" s="6" t="s">
        <v>1389</v>
      </c>
      <c r="F56" s="6" t="s">
        <v>1362</v>
      </c>
    </row>
    <row r="57" ht="21.0" customHeight="1">
      <c r="A57" s="6" t="s">
        <v>1441</v>
      </c>
      <c r="B57" s="6" t="s">
        <v>191</v>
      </c>
      <c r="C57" s="27">
        <v>46264.0</v>
      </c>
      <c r="D57" s="27">
        <v>46262.0</v>
      </c>
      <c r="E57" s="6" t="s">
        <v>1358</v>
      </c>
      <c r="F57" s="6" t="s">
        <v>1367</v>
      </c>
    </row>
    <row r="58" ht="21.0" customHeight="1">
      <c r="A58" s="6" t="s">
        <v>1442</v>
      </c>
      <c r="B58" s="6" t="s">
        <v>194</v>
      </c>
      <c r="C58" s="27">
        <v>46264.0</v>
      </c>
      <c r="D58" s="27">
        <v>46264.0</v>
      </c>
      <c r="E58" s="6" t="s">
        <v>1358</v>
      </c>
      <c r="F58" s="6" t="s">
        <v>1359</v>
      </c>
    </row>
    <row r="59" ht="21.0" customHeight="1">
      <c r="A59" s="6" t="s">
        <v>1444</v>
      </c>
      <c r="B59" s="6" t="s">
        <v>197</v>
      </c>
      <c r="C59" s="27">
        <v>46261.0</v>
      </c>
      <c r="D59" s="27">
        <v>46261.0</v>
      </c>
      <c r="E59" s="6" t="s">
        <v>1358</v>
      </c>
      <c r="F59" s="6" t="s">
        <v>1367</v>
      </c>
    </row>
    <row r="60" ht="21.0" customHeight="1">
      <c r="A60" s="6" t="s">
        <v>1445</v>
      </c>
      <c r="B60" s="6" t="s">
        <v>200</v>
      </c>
      <c r="C60" s="27">
        <v>46262.0</v>
      </c>
      <c r="D60" s="27">
        <v>46260.0</v>
      </c>
      <c r="E60" s="6" t="s">
        <v>1358</v>
      </c>
      <c r="F60" s="6" t="s">
        <v>1362</v>
      </c>
    </row>
    <row r="61" ht="21.0" customHeight="1">
      <c r="A61" s="6" t="s">
        <v>1447</v>
      </c>
      <c r="B61" s="6" t="s">
        <v>204</v>
      </c>
      <c r="C61" s="27">
        <v>46264.0</v>
      </c>
      <c r="D61" s="27">
        <v>46264.0</v>
      </c>
      <c r="E61" s="6" t="s">
        <v>1358</v>
      </c>
      <c r="F61" s="6" t="s">
        <v>1367</v>
      </c>
    </row>
    <row r="62" ht="21.0" customHeight="1">
      <c r="A62" s="6" t="s">
        <v>1448</v>
      </c>
      <c r="B62" s="6" t="s">
        <v>206</v>
      </c>
      <c r="C62" s="27">
        <v>46264.0</v>
      </c>
      <c r="D62" s="27">
        <v>46263.0</v>
      </c>
      <c r="E62" s="6" t="s">
        <v>1358</v>
      </c>
      <c r="F62" s="6" t="s">
        <v>1362</v>
      </c>
    </row>
    <row r="63" ht="21.0" customHeight="1">
      <c r="A63" s="6" t="s">
        <v>1449</v>
      </c>
      <c r="B63" s="6" t="s">
        <v>209</v>
      </c>
      <c r="C63" s="27">
        <v>46263.0</v>
      </c>
      <c r="D63" s="27">
        <v>46263.0</v>
      </c>
      <c r="E63" s="6" t="s">
        <v>1358</v>
      </c>
      <c r="F63" s="6" t="s">
        <v>1367</v>
      </c>
    </row>
    <row r="64" ht="21.0" customHeight="1">
      <c r="A64" s="6" t="s">
        <v>1450</v>
      </c>
      <c r="B64" s="6" t="s">
        <v>212</v>
      </c>
      <c r="C64" s="27">
        <v>46262.0</v>
      </c>
      <c r="D64" s="27">
        <v>46262.0</v>
      </c>
      <c r="E64" s="6" t="s">
        <v>1358</v>
      </c>
      <c r="F64" s="6" t="s">
        <v>1362</v>
      </c>
    </row>
    <row r="65" ht="21.0" customHeight="1">
      <c r="A65" s="6" t="s">
        <v>1451</v>
      </c>
      <c r="B65" s="6" t="s">
        <v>215</v>
      </c>
      <c r="C65" s="27">
        <v>46264.0</v>
      </c>
      <c r="D65" s="27">
        <v>46264.0</v>
      </c>
      <c r="E65" s="6" t="s">
        <v>1358</v>
      </c>
      <c r="F65" s="6" t="s">
        <v>1359</v>
      </c>
    </row>
    <row r="66" ht="21.0" customHeight="1">
      <c r="A66" s="6" t="s">
        <v>1453</v>
      </c>
      <c r="B66" s="6" t="s">
        <v>218</v>
      </c>
      <c r="C66" s="27">
        <v>46263.0</v>
      </c>
      <c r="D66" s="27">
        <v>46265.0</v>
      </c>
      <c r="E66" s="6" t="s">
        <v>1358</v>
      </c>
      <c r="F66" s="6" t="s">
        <v>1367</v>
      </c>
    </row>
    <row r="67" ht="21.0" customHeight="1">
      <c r="A67" s="6" t="s">
        <v>1454</v>
      </c>
      <c r="B67" s="6" t="s">
        <v>220</v>
      </c>
      <c r="C67" s="27">
        <v>46311.0</v>
      </c>
      <c r="D67" s="27"/>
      <c r="E67" s="6" t="s">
        <v>1389</v>
      </c>
      <c r="F67" s="6" t="s">
        <v>1362</v>
      </c>
    </row>
    <row r="68" ht="21.0" customHeight="1">
      <c r="A68" s="6" t="s">
        <v>1456</v>
      </c>
      <c r="B68" s="6" t="s">
        <v>223</v>
      </c>
      <c r="C68" s="27">
        <v>46265.0</v>
      </c>
      <c r="D68" s="27"/>
      <c r="E68" s="6" t="s">
        <v>97</v>
      </c>
      <c r="F68" s="6" t="s">
        <v>1359</v>
      </c>
    </row>
    <row r="69" ht="21.0" customHeight="1">
      <c r="A69" s="6" t="s">
        <v>1457</v>
      </c>
      <c r="B69" s="6" t="s">
        <v>226</v>
      </c>
      <c r="C69" s="27">
        <v>46264.0</v>
      </c>
      <c r="D69" s="27">
        <v>46266.0</v>
      </c>
      <c r="E69" s="6" t="s">
        <v>1358</v>
      </c>
      <c r="F69" s="6" t="s">
        <v>1362</v>
      </c>
    </row>
    <row r="70" ht="21.0" customHeight="1">
      <c r="A70" s="6" t="s">
        <v>1459</v>
      </c>
      <c r="B70" s="6" t="s">
        <v>229</v>
      </c>
      <c r="C70" s="27">
        <v>46265.0</v>
      </c>
      <c r="D70" s="27">
        <v>46266.0</v>
      </c>
      <c r="E70" s="6" t="s">
        <v>1358</v>
      </c>
      <c r="F70" s="6" t="s">
        <v>1362</v>
      </c>
    </row>
    <row r="71" ht="21.0" customHeight="1">
      <c r="A71" s="6" t="s">
        <v>1460</v>
      </c>
      <c r="B71" s="6" t="s">
        <v>232</v>
      </c>
      <c r="C71" s="27">
        <v>46263.0</v>
      </c>
      <c r="D71" s="27">
        <v>46263.0</v>
      </c>
      <c r="E71" s="6" t="s">
        <v>1358</v>
      </c>
      <c r="F71" s="6" t="s">
        <v>1367</v>
      </c>
    </row>
    <row r="72" ht="21.0" customHeight="1">
      <c r="A72" s="6" t="s">
        <v>1462</v>
      </c>
      <c r="B72" s="6" t="s">
        <v>234</v>
      </c>
      <c r="C72" s="27">
        <v>46265.0</v>
      </c>
      <c r="D72" s="27">
        <v>46265.0</v>
      </c>
      <c r="E72" s="6" t="s">
        <v>1358</v>
      </c>
      <c r="F72" s="6" t="s">
        <v>1359</v>
      </c>
    </row>
    <row r="73" ht="21.0" customHeight="1">
      <c r="A73" s="6" t="s">
        <v>1463</v>
      </c>
      <c r="B73" s="6" t="s">
        <v>237</v>
      </c>
      <c r="C73" s="27">
        <v>46265.0</v>
      </c>
      <c r="D73" s="27">
        <v>46267.0</v>
      </c>
      <c r="E73" s="6" t="s">
        <v>1358</v>
      </c>
      <c r="F73" s="6" t="s">
        <v>1359</v>
      </c>
    </row>
    <row r="74" ht="21.0" customHeight="1">
      <c r="A74" s="6" t="s">
        <v>1464</v>
      </c>
      <c r="B74" s="6" t="s">
        <v>240</v>
      </c>
      <c r="C74" s="27">
        <v>46266.0</v>
      </c>
      <c r="D74" s="27">
        <v>46266.0</v>
      </c>
      <c r="E74" s="6" t="s">
        <v>1358</v>
      </c>
      <c r="F74" s="6" t="s">
        <v>1359</v>
      </c>
    </row>
    <row r="75" ht="21.0" customHeight="1">
      <c r="A75" s="6" t="s">
        <v>1465</v>
      </c>
      <c r="B75" s="6" t="s">
        <v>242</v>
      </c>
      <c r="C75" s="27">
        <v>46266.0</v>
      </c>
      <c r="D75" s="27">
        <v>46266.0</v>
      </c>
      <c r="E75" s="6" t="s">
        <v>1358</v>
      </c>
      <c r="F75" s="6" t="s">
        <v>1367</v>
      </c>
    </row>
    <row r="76" ht="21.0" customHeight="1">
      <c r="A76" s="6" t="s">
        <v>1466</v>
      </c>
      <c r="B76" s="6" t="s">
        <v>245</v>
      </c>
      <c r="C76" s="27">
        <v>46265.0</v>
      </c>
      <c r="D76" s="27">
        <v>46266.0</v>
      </c>
      <c r="E76" s="6" t="s">
        <v>1358</v>
      </c>
      <c r="F76" s="6" t="s">
        <v>1362</v>
      </c>
    </row>
    <row r="77" ht="21.0" customHeight="1">
      <c r="A77" s="6" t="s">
        <v>1468</v>
      </c>
      <c r="B77" s="6" t="s">
        <v>248</v>
      </c>
      <c r="C77" s="27">
        <v>46267.0</v>
      </c>
      <c r="D77" s="27">
        <v>46269.0</v>
      </c>
      <c r="E77" s="6" t="s">
        <v>1358</v>
      </c>
      <c r="F77" s="6" t="s">
        <v>1367</v>
      </c>
    </row>
    <row r="78" ht="21.0" customHeight="1">
      <c r="A78" s="6" t="s">
        <v>1469</v>
      </c>
      <c r="B78" s="6" t="s">
        <v>251</v>
      </c>
      <c r="C78" s="27">
        <v>46264.0</v>
      </c>
      <c r="D78" s="27">
        <v>46264.0</v>
      </c>
      <c r="E78" s="6" t="s">
        <v>1358</v>
      </c>
      <c r="F78" s="6" t="s">
        <v>1367</v>
      </c>
    </row>
    <row r="79" ht="21.0" customHeight="1">
      <c r="A79" s="6" t="s">
        <v>1471</v>
      </c>
      <c r="B79" s="6" t="s">
        <v>253</v>
      </c>
      <c r="C79" s="27">
        <v>46263.0</v>
      </c>
      <c r="D79" s="27">
        <v>46262.0</v>
      </c>
      <c r="E79" s="6" t="s">
        <v>1358</v>
      </c>
      <c r="F79" s="6" t="s">
        <v>1367</v>
      </c>
    </row>
    <row r="80" ht="21.0" customHeight="1">
      <c r="A80" s="6" t="s">
        <v>1472</v>
      </c>
      <c r="B80" s="6" t="s">
        <v>256</v>
      </c>
      <c r="C80" s="27">
        <v>46264.0</v>
      </c>
      <c r="D80" s="27">
        <v>46264.0</v>
      </c>
      <c r="E80" s="6" t="s">
        <v>1358</v>
      </c>
      <c r="F80" s="6" t="s">
        <v>1367</v>
      </c>
    </row>
    <row r="81" ht="21.0" customHeight="1">
      <c r="A81" s="6" t="s">
        <v>1474</v>
      </c>
      <c r="B81" s="6" t="s">
        <v>259</v>
      </c>
      <c r="C81" s="27">
        <v>46267.0</v>
      </c>
      <c r="D81" s="27">
        <v>46267.0</v>
      </c>
      <c r="E81" s="6" t="s">
        <v>1358</v>
      </c>
      <c r="F81" s="6" t="s">
        <v>1367</v>
      </c>
    </row>
    <row r="82" ht="21.0" customHeight="1">
      <c r="A82" s="6" t="s">
        <v>1475</v>
      </c>
      <c r="B82" s="6" t="s">
        <v>262</v>
      </c>
      <c r="C82" s="27">
        <v>46264.0</v>
      </c>
      <c r="D82" s="27">
        <v>46264.0</v>
      </c>
      <c r="E82" s="6" t="s">
        <v>1358</v>
      </c>
      <c r="F82" s="6" t="s">
        <v>1359</v>
      </c>
    </row>
    <row r="83" ht="21.0" customHeight="1">
      <c r="A83" s="6" t="s">
        <v>1477</v>
      </c>
      <c r="B83" s="6" t="s">
        <v>264</v>
      </c>
      <c r="C83" s="27">
        <v>46263.0</v>
      </c>
      <c r="D83" s="27">
        <v>46263.0</v>
      </c>
      <c r="E83" s="6" t="s">
        <v>1358</v>
      </c>
      <c r="F83" s="6" t="s">
        <v>1362</v>
      </c>
    </row>
    <row r="84" ht="21.0" customHeight="1">
      <c r="A84" s="6" t="s">
        <v>1481</v>
      </c>
      <c r="B84" s="6" t="s">
        <v>267</v>
      </c>
      <c r="C84" s="27">
        <v>46264.0</v>
      </c>
      <c r="D84" s="27">
        <v>46262.0</v>
      </c>
      <c r="E84" s="6" t="s">
        <v>1358</v>
      </c>
      <c r="F84" s="6" t="s">
        <v>1362</v>
      </c>
    </row>
    <row r="85" ht="21.0" customHeight="1">
      <c r="A85" s="6" t="s">
        <v>1485</v>
      </c>
      <c r="B85" s="6" t="s">
        <v>270</v>
      </c>
      <c r="C85" s="27">
        <v>46311.0</v>
      </c>
      <c r="D85" s="27"/>
      <c r="E85" s="6" t="s">
        <v>1389</v>
      </c>
      <c r="F85" s="6" t="s">
        <v>1362</v>
      </c>
    </row>
    <row r="86" ht="21.0" customHeight="1">
      <c r="A86" s="6" t="s">
        <v>1487</v>
      </c>
      <c r="B86" s="6" t="s">
        <v>273</v>
      </c>
      <c r="C86" s="27">
        <v>46264.0</v>
      </c>
      <c r="D86" s="27">
        <v>46264.0</v>
      </c>
      <c r="E86" s="6" t="s">
        <v>1358</v>
      </c>
      <c r="F86" s="6" t="s">
        <v>1362</v>
      </c>
    </row>
    <row r="87" ht="21.0" customHeight="1">
      <c r="A87" s="6" t="s">
        <v>1488</v>
      </c>
      <c r="B87" s="6" t="s">
        <v>275</v>
      </c>
      <c r="C87" s="27">
        <v>46268.0</v>
      </c>
      <c r="D87" s="27">
        <v>46266.0</v>
      </c>
      <c r="E87" s="6" t="s">
        <v>1358</v>
      </c>
      <c r="F87" s="6" t="s">
        <v>1362</v>
      </c>
    </row>
    <row r="88" ht="21.0" customHeight="1">
      <c r="A88" s="6" t="s">
        <v>1490</v>
      </c>
      <c r="B88" s="6" t="s">
        <v>278</v>
      </c>
      <c r="C88" s="27">
        <v>46266.0</v>
      </c>
      <c r="D88" s="27">
        <v>46266.0</v>
      </c>
      <c r="E88" s="6" t="s">
        <v>1358</v>
      </c>
      <c r="F88" s="6" t="s">
        <v>1367</v>
      </c>
    </row>
    <row r="89" ht="21.0" customHeight="1">
      <c r="A89" s="6" t="s">
        <v>1494</v>
      </c>
      <c r="B89" s="6" t="s">
        <v>281</v>
      </c>
      <c r="C89" s="27">
        <v>46267.0</v>
      </c>
      <c r="D89" s="27">
        <v>46267.0</v>
      </c>
      <c r="E89" s="6" t="s">
        <v>1358</v>
      </c>
      <c r="F89" s="6" t="s">
        <v>1367</v>
      </c>
    </row>
    <row r="90" ht="21.0" customHeight="1">
      <c r="A90" s="6" t="s">
        <v>1497</v>
      </c>
      <c r="B90" s="6" t="s">
        <v>284</v>
      </c>
      <c r="C90" s="27">
        <v>46265.0</v>
      </c>
      <c r="D90" s="27">
        <v>46266.0</v>
      </c>
      <c r="E90" s="6" t="s">
        <v>1358</v>
      </c>
      <c r="F90" s="6" t="s">
        <v>1362</v>
      </c>
    </row>
    <row r="91" ht="21.0" customHeight="1">
      <c r="A91" s="6" t="s">
        <v>1501</v>
      </c>
      <c r="B91" s="6" t="s">
        <v>286</v>
      </c>
      <c r="C91" s="27">
        <v>46266.0</v>
      </c>
      <c r="D91" s="27">
        <v>46266.0</v>
      </c>
      <c r="E91" s="6" t="s">
        <v>1358</v>
      </c>
      <c r="F91" s="6" t="s">
        <v>1359</v>
      </c>
    </row>
    <row r="92" ht="21.0" customHeight="1">
      <c r="A92" s="6" t="s">
        <v>1503</v>
      </c>
      <c r="B92" s="6" t="s">
        <v>289</v>
      </c>
      <c r="C92" s="27">
        <v>46306.0</v>
      </c>
      <c r="D92" s="27"/>
      <c r="E92" s="6" t="s">
        <v>1389</v>
      </c>
      <c r="F92" s="6" t="s">
        <v>1362</v>
      </c>
    </row>
    <row r="93" ht="21.0" customHeight="1">
      <c r="A93" s="6" t="s">
        <v>1505</v>
      </c>
      <c r="B93" s="6" t="s">
        <v>292</v>
      </c>
      <c r="C93" s="27">
        <v>46267.0</v>
      </c>
      <c r="D93" s="27">
        <v>46267.0</v>
      </c>
      <c r="E93" s="6" t="s">
        <v>1358</v>
      </c>
      <c r="F93" s="6" t="s">
        <v>1359</v>
      </c>
    </row>
    <row r="94" ht="21.0" customHeight="1">
      <c r="A94" s="6" t="s">
        <v>1508</v>
      </c>
      <c r="B94" s="6" t="s">
        <v>295</v>
      </c>
      <c r="C94" s="27">
        <v>46267.0</v>
      </c>
      <c r="D94" s="27">
        <v>46267.0</v>
      </c>
      <c r="E94" s="6" t="s">
        <v>1358</v>
      </c>
      <c r="F94" s="6" t="s">
        <v>1362</v>
      </c>
    </row>
    <row r="95" ht="21.0" customHeight="1">
      <c r="A95" s="6" t="s">
        <v>1509</v>
      </c>
      <c r="B95" s="6" t="s">
        <v>297</v>
      </c>
      <c r="C95" s="27">
        <v>46267.0</v>
      </c>
      <c r="D95" s="27">
        <v>46267.0</v>
      </c>
      <c r="E95" s="6" t="s">
        <v>1358</v>
      </c>
      <c r="F95" s="6" t="s">
        <v>1359</v>
      </c>
    </row>
    <row r="96" ht="21.0" customHeight="1">
      <c r="A96" s="6" t="s">
        <v>1512</v>
      </c>
      <c r="B96" s="6" t="s">
        <v>300</v>
      </c>
      <c r="C96" s="27">
        <v>46265.0</v>
      </c>
      <c r="D96" s="27">
        <v>46266.0</v>
      </c>
      <c r="E96" s="6" t="s">
        <v>1358</v>
      </c>
      <c r="F96" s="6" t="s">
        <v>1362</v>
      </c>
    </row>
    <row r="97" ht="21.0" customHeight="1">
      <c r="A97" s="6" t="s">
        <v>1514</v>
      </c>
      <c r="B97" s="6" t="s">
        <v>303</v>
      </c>
      <c r="C97" s="27">
        <v>46265.0</v>
      </c>
      <c r="D97" s="27">
        <v>46265.0</v>
      </c>
      <c r="E97" s="6" t="s">
        <v>1358</v>
      </c>
      <c r="F97" s="6" t="s">
        <v>1362</v>
      </c>
    </row>
    <row r="98" ht="21.0" customHeight="1">
      <c r="A98" s="6" t="s">
        <v>1518</v>
      </c>
      <c r="B98" s="6" t="s">
        <v>305</v>
      </c>
      <c r="C98" s="27">
        <v>46265.0</v>
      </c>
      <c r="D98" s="27">
        <v>46265.0</v>
      </c>
      <c r="E98" s="6" t="s">
        <v>1358</v>
      </c>
      <c r="F98" s="6" t="s">
        <v>1367</v>
      </c>
    </row>
    <row r="99" ht="21.0" customHeight="1">
      <c r="A99" s="6" t="s">
        <v>1521</v>
      </c>
      <c r="B99" s="6" t="s">
        <v>308</v>
      </c>
      <c r="C99" s="27">
        <v>46270.0</v>
      </c>
      <c r="D99" s="27">
        <v>46272.0</v>
      </c>
      <c r="E99" s="6" t="s">
        <v>1358</v>
      </c>
      <c r="F99" s="6" t="s">
        <v>1359</v>
      </c>
    </row>
    <row r="100" ht="21.0" customHeight="1">
      <c r="A100" s="6" t="s">
        <v>1523</v>
      </c>
      <c r="B100" s="6" t="s">
        <v>311</v>
      </c>
      <c r="C100" s="27">
        <v>46270.0</v>
      </c>
      <c r="D100" s="27">
        <v>46271.0</v>
      </c>
      <c r="E100" s="6" t="s">
        <v>1358</v>
      </c>
      <c r="F100" s="6" t="s">
        <v>1367</v>
      </c>
    </row>
    <row r="101" ht="21.0" customHeight="1">
      <c r="A101" s="6" t="s">
        <v>1527</v>
      </c>
      <c r="B101" s="6" t="s">
        <v>313</v>
      </c>
      <c r="C101" s="27">
        <v>46268.0</v>
      </c>
      <c r="D101" s="27">
        <v>46267.0</v>
      </c>
      <c r="E101" s="6" t="s">
        <v>1358</v>
      </c>
      <c r="F101" s="6" t="s">
        <v>1359</v>
      </c>
    </row>
    <row r="102" ht="21.0" customHeight="1">
      <c r="A102" s="6" t="s">
        <v>1529</v>
      </c>
      <c r="B102" s="6" t="s">
        <v>316</v>
      </c>
      <c r="C102" s="27">
        <v>46269.0</v>
      </c>
      <c r="D102" s="27">
        <v>46267.0</v>
      </c>
      <c r="E102" s="6" t="s">
        <v>1358</v>
      </c>
      <c r="F102" s="6" t="s">
        <v>1367</v>
      </c>
    </row>
    <row r="103" ht="21.0" customHeight="1">
      <c r="A103" s="6" t="s">
        <v>1532</v>
      </c>
      <c r="B103" s="6" t="s">
        <v>319</v>
      </c>
      <c r="C103" s="27">
        <v>46269.0</v>
      </c>
      <c r="D103" s="27">
        <v>46269.0</v>
      </c>
      <c r="E103" s="6" t="s">
        <v>1358</v>
      </c>
      <c r="F103" s="6" t="s">
        <v>1367</v>
      </c>
    </row>
    <row r="104" ht="21.0" customHeight="1">
      <c r="A104" s="6" t="s">
        <v>1533</v>
      </c>
      <c r="B104" s="6" t="s">
        <v>322</v>
      </c>
      <c r="C104" s="27">
        <v>46269.0</v>
      </c>
      <c r="D104" s="27">
        <v>46267.0</v>
      </c>
      <c r="E104" s="6" t="s">
        <v>1358</v>
      </c>
      <c r="F104" s="6" t="s">
        <v>1359</v>
      </c>
    </row>
    <row r="105" ht="21.0" customHeight="1">
      <c r="A105" s="6" t="s">
        <v>1535</v>
      </c>
      <c r="B105" s="6" t="s">
        <v>325</v>
      </c>
      <c r="C105" s="27">
        <v>46269.0</v>
      </c>
      <c r="D105" s="27">
        <v>46268.0</v>
      </c>
      <c r="E105" s="6" t="s">
        <v>1358</v>
      </c>
      <c r="F105" s="6" t="s">
        <v>1362</v>
      </c>
    </row>
    <row r="106" ht="21.0" customHeight="1">
      <c r="A106" s="6" t="s">
        <v>1540</v>
      </c>
      <c r="B106" s="6" t="s">
        <v>327</v>
      </c>
      <c r="C106" s="27">
        <v>46267.0</v>
      </c>
      <c r="D106" s="27">
        <v>46265.0</v>
      </c>
      <c r="E106" s="6" t="s">
        <v>1358</v>
      </c>
      <c r="F106" s="6" t="s">
        <v>1367</v>
      </c>
    </row>
    <row r="107" ht="21.0" customHeight="1">
      <c r="A107" s="6" t="s">
        <v>1542</v>
      </c>
      <c r="B107" s="6" t="s">
        <v>330</v>
      </c>
      <c r="C107" s="27">
        <v>46269.0</v>
      </c>
      <c r="D107" s="27">
        <v>46271.0</v>
      </c>
      <c r="E107" s="6" t="s">
        <v>1358</v>
      </c>
      <c r="F107" s="6" t="s">
        <v>1367</v>
      </c>
    </row>
    <row r="108" ht="21.0" customHeight="1">
      <c r="A108" s="6" t="s">
        <v>1544</v>
      </c>
      <c r="B108" s="6" t="s">
        <v>332</v>
      </c>
      <c r="C108" s="27">
        <v>46269.0</v>
      </c>
      <c r="D108" s="27">
        <v>46268.0</v>
      </c>
      <c r="E108" s="6" t="s">
        <v>1358</v>
      </c>
      <c r="F108" s="6" t="s">
        <v>1359</v>
      </c>
    </row>
    <row r="109" ht="21.0" customHeight="1">
      <c r="A109" s="6" t="s">
        <v>1546</v>
      </c>
      <c r="B109" s="6" t="s">
        <v>335</v>
      </c>
      <c r="C109" s="27">
        <v>46268.0</v>
      </c>
      <c r="D109" s="27">
        <v>46268.0</v>
      </c>
      <c r="E109" s="6" t="s">
        <v>1358</v>
      </c>
      <c r="F109" s="6" t="s">
        <v>1359</v>
      </c>
    </row>
    <row r="110" ht="21.0" customHeight="1">
      <c r="A110" s="6" t="s">
        <v>1547</v>
      </c>
      <c r="B110" s="6" t="s">
        <v>338</v>
      </c>
      <c r="C110" s="27">
        <v>46267.0</v>
      </c>
      <c r="D110" s="27"/>
      <c r="E110" s="6" t="s">
        <v>97</v>
      </c>
      <c r="F110" s="6" t="s">
        <v>1359</v>
      </c>
    </row>
    <row r="111" ht="21.0" customHeight="1">
      <c r="A111" s="6" t="s">
        <v>1550</v>
      </c>
      <c r="B111" s="6" t="s">
        <v>341</v>
      </c>
      <c r="C111" s="27">
        <v>46269.0</v>
      </c>
      <c r="D111" s="27">
        <v>46270.0</v>
      </c>
      <c r="E111" s="6" t="s">
        <v>1358</v>
      </c>
      <c r="F111" s="6" t="s">
        <v>1359</v>
      </c>
    </row>
    <row r="112" ht="21.0" customHeight="1">
      <c r="A112" s="6" t="s">
        <v>1552</v>
      </c>
      <c r="B112" s="6" t="s">
        <v>343</v>
      </c>
      <c r="C112" s="27">
        <v>46269.0</v>
      </c>
      <c r="D112" s="27">
        <v>46269.0</v>
      </c>
      <c r="E112" s="6" t="s">
        <v>1358</v>
      </c>
      <c r="F112" s="6" t="s">
        <v>1367</v>
      </c>
    </row>
    <row r="113" ht="21.0" customHeight="1">
      <c r="A113" s="6" t="s">
        <v>1553</v>
      </c>
      <c r="B113" s="6" t="s">
        <v>346</v>
      </c>
      <c r="C113" s="27">
        <v>46312.0</v>
      </c>
      <c r="D113" s="27"/>
      <c r="E113" s="6" t="s">
        <v>1389</v>
      </c>
      <c r="F113" s="6" t="s">
        <v>1359</v>
      </c>
    </row>
    <row r="114" ht="21.0" customHeight="1">
      <c r="A114" s="6" t="s">
        <v>1556</v>
      </c>
      <c r="B114" s="6" t="s">
        <v>348</v>
      </c>
      <c r="C114" s="27">
        <v>46271.0</v>
      </c>
      <c r="D114" s="27">
        <v>46271.0</v>
      </c>
      <c r="E114" s="6" t="s">
        <v>1358</v>
      </c>
      <c r="F114" s="6" t="s">
        <v>1367</v>
      </c>
    </row>
    <row r="115" ht="21.0" customHeight="1">
      <c r="A115" s="6" t="s">
        <v>1558</v>
      </c>
      <c r="B115" s="6" t="s">
        <v>351</v>
      </c>
      <c r="C115" s="27">
        <v>46271.0</v>
      </c>
      <c r="D115" s="27">
        <v>46271.0</v>
      </c>
      <c r="E115" s="6" t="s">
        <v>1358</v>
      </c>
      <c r="F115" s="6" t="s">
        <v>1362</v>
      </c>
    </row>
    <row r="116" ht="21.0" customHeight="1">
      <c r="A116" s="6" t="s">
        <v>1560</v>
      </c>
      <c r="B116" s="6" t="s">
        <v>354</v>
      </c>
      <c r="C116" s="27">
        <v>46270.0</v>
      </c>
      <c r="D116" s="27">
        <v>46270.0</v>
      </c>
      <c r="E116" s="6" t="s">
        <v>1358</v>
      </c>
      <c r="F116" s="6" t="s">
        <v>1367</v>
      </c>
    </row>
    <row r="117" ht="21.0" customHeight="1">
      <c r="A117" s="6" t="s">
        <v>1562</v>
      </c>
      <c r="B117" s="6" t="s">
        <v>357</v>
      </c>
      <c r="C117" s="27">
        <v>46269.0</v>
      </c>
      <c r="D117" s="27">
        <v>46269.0</v>
      </c>
      <c r="E117" s="6" t="s">
        <v>1358</v>
      </c>
      <c r="F117" s="6" t="s">
        <v>1359</v>
      </c>
    </row>
    <row r="118" ht="21.0" customHeight="1">
      <c r="A118" s="6" t="s">
        <v>1565</v>
      </c>
      <c r="B118" s="6" t="s">
        <v>359</v>
      </c>
      <c r="C118" s="27">
        <v>46272.0</v>
      </c>
      <c r="D118" s="27">
        <v>46272.0</v>
      </c>
      <c r="E118" s="6" t="s">
        <v>1358</v>
      </c>
      <c r="F118" s="6" t="s">
        <v>1367</v>
      </c>
    </row>
    <row r="119" ht="21.0" customHeight="1">
      <c r="A119" s="6" t="s">
        <v>1567</v>
      </c>
      <c r="B119" s="6" t="s">
        <v>362</v>
      </c>
      <c r="C119" s="27">
        <v>46270.0</v>
      </c>
      <c r="D119" s="27">
        <v>46270.0</v>
      </c>
      <c r="E119" s="6" t="s">
        <v>1358</v>
      </c>
      <c r="F119" s="6" t="s">
        <v>1359</v>
      </c>
    </row>
    <row r="120" ht="21.0" customHeight="1">
      <c r="A120" s="6" t="s">
        <v>1569</v>
      </c>
      <c r="B120" s="6" t="s">
        <v>365</v>
      </c>
      <c r="C120" s="27">
        <v>46270.0</v>
      </c>
      <c r="D120" s="27">
        <v>46271.0</v>
      </c>
      <c r="E120" s="6" t="s">
        <v>1358</v>
      </c>
      <c r="F120" s="6" t="s">
        <v>1367</v>
      </c>
    </row>
    <row r="121" ht="21.0" customHeight="1">
      <c r="A121" s="6" t="s">
        <v>1571</v>
      </c>
      <c r="B121" s="6" t="s">
        <v>368</v>
      </c>
      <c r="C121" s="27">
        <v>46268.0</v>
      </c>
      <c r="D121" s="27">
        <v>46269.0</v>
      </c>
      <c r="E121" s="6" t="s">
        <v>1358</v>
      </c>
      <c r="F121" s="6" t="s">
        <v>1359</v>
      </c>
    </row>
    <row r="122" ht="21.0" customHeight="1">
      <c r="A122" s="6" t="s">
        <v>1573</v>
      </c>
      <c r="B122" s="6" t="s">
        <v>370</v>
      </c>
      <c r="C122" s="27">
        <v>46272.0</v>
      </c>
      <c r="D122" s="27">
        <v>46272.0</v>
      </c>
      <c r="E122" s="6" t="s">
        <v>1358</v>
      </c>
      <c r="F122" s="6" t="s">
        <v>1359</v>
      </c>
    </row>
    <row r="123" ht="21.0" customHeight="1">
      <c r="A123" s="6" t="s">
        <v>1576</v>
      </c>
      <c r="B123" s="6" t="s">
        <v>373</v>
      </c>
      <c r="C123" s="27">
        <v>46273.0</v>
      </c>
      <c r="D123" s="27">
        <v>46272.0</v>
      </c>
      <c r="E123" s="6" t="s">
        <v>1358</v>
      </c>
      <c r="F123" s="6" t="s">
        <v>1359</v>
      </c>
    </row>
    <row r="124" ht="21.0" customHeight="1">
      <c r="A124" s="6" t="s">
        <v>1577</v>
      </c>
      <c r="B124" s="6" t="s">
        <v>376</v>
      </c>
      <c r="C124" s="27">
        <v>46304.0</v>
      </c>
      <c r="D124" s="27"/>
      <c r="E124" s="6" t="s">
        <v>1389</v>
      </c>
      <c r="F124" s="6" t="s">
        <v>1367</v>
      </c>
    </row>
    <row r="125" ht="21.0" customHeight="1">
      <c r="A125" s="6" t="s">
        <v>1580</v>
      </c>
      <c r="B125" s="6" t="s">
        <v>379</v>
      </c>
      <c r="C125" s="27">
        <v>46273.0</v>
      </c>
      <c r="D125" s="27">
        <v>46274.0</v>
      </c>
      <c r="E125" s="6" t="s">
        <v>1358</v>
      </c>
      <c r="F125" s="6" t="s">
        <v>1362</v>
      </c>
    </row>
    <row r="126" ht="21.0" customHeight="1">
      <c r="A126" s="6" t="s">
        <v>1585</v>
      </c>
      <c r="B126" s="6" t="s">
        <v>382</v>
      </c>
      <c r="C126" s="27">
        <v>46272.0</v>
      </c>
      <c r="D126" s="27">
        <v>46273.0</v>
      </c>
      <c r="E126" s="6" t="s">
        <v>1358</v>
      </c>
      <c r="F126" s="6" t="s">
        <v>1367</v>
      </c>
    </row>
    <row r="127" ht="21.0" customHeight="1">
      <c r="A127" s="6" t="s">
        <v>1589</v>
      </c>
      <c r="B127" s="6" t="s">
        <v>384</v>
      </c>
      <c r="C127" s="27">
        <v>46271.0</v>
      </c>
      <c r="D127" s="27">
        <v>46271.0</v>
      </c>
      <c r="E127" s="6" t="s">
        <v>1358</v>
      </c>
      <c r="F127" s="6" t="s">
        <v>1359</v>
      </c>
    </row>
    <row r="128" ht="21.0" customHeight="1">
      <c r="A128" s="6" t="s">
        <v>1594</v>
      </c>
      <c r="B128" s="6" t="s">
        <v>387</v>
      </c>
      <c r="C128" s="27">
        <v>46271.0</v>
      </c>
      <c r="D128" s="27">
        <v>46271.0</v>
      </c>
      <c r="E128" s="6" t="s">
        <v>1358</v>
      </c>
      <c r="F128" s="6" t="s">
        <v>1362</v>
      </c>
    </row>
    <row r="129" ht="21.0" customHeight="1">
      <c r="A129" s="6" t="s">
        <v>1597</v>
      </c>
      <c r="B129" s="6" t="s">
        <v>390</v>
      </c>
      <c r="C129" s="27">
        <v>46271.0</v>
      </c>
      <c r="D129" s="27">
        <v>46272.0</v>
      </c>
      <c r="E129" s="6" t="s">
        <v>1358</v>
      </c>
      <c r="F129" s="6" t="s">
        <v>1367</v>
      </c>
    </row>
    <row r="130" ht="21.0" customHeight="1">
      <c r="A130" s="6" t="s">
        <v>1600</v>
      </c>
      <c r="B130" s="6" t="s">
        <v>393</v>
      </c>
      <c r="C130" s="27">
        <v>46273.0</v>
      </c>
      <c r="D130" s="27">
        <v>46273.0</v>
      </c>
      <c r="E130" s="6" t="s">
        <v>1358</v>
      </c>
      <c r="F130" s="6" t="s">
        <v>1362</v>
      </c>
    </row>
    <row r="131" ht="21.0" customHeight="1">
      <c r="A131" s="6" t="s">
        <v>1603</v>
      </c>
      <c r="B131" s="6" t="s">
        <v>395</v>
      </c>
      <c r="C131" s="27">
        <v>46271.0</v>
      </c>
      <c r="D131" s="27">
        <v>46272.0</v>
      </c>
      <c r="E131" s="6" t="s">
        <v>1358</v>
      </c>
      <c r="F131" s="6" t="s">
        <v>1367</v>
      </c>
    </row>
    <row r="132" ht="21.0" customHeight="1">
      <c r="A132" s="6" t="s">
        <v>1606</v>
      </c>
      <c r="B132" s="6" t="s">
        <v>398</v>
      </c>
      <c r="C132" s="27">
        <v>46272.0</v>
      </c>
      <c r="D132" s="27">
        <v>46272.0</v>
      </c>
      <c r="E132" s="6" t="s">
        <v>1358</v>
      </c>
      <c r="F132" s="6" t="s">
        <v>1359</v>
      </c>
    </row>
    <row r="133" ht="21.0" customHeight="1">
      <c r="A133" s="6" t="s">
        <v>1609</v>
      </c>
      <c r="B133" s="6" t="s">
        <v>401</v>
      </c>
      <c r="C133" s="27">
        <v>46273.0</v>
      </c>
      <c r="D133" s="27">
        <v>46273.0</v>
      </c>
      <c r="E133" s="6" t="s">
        <v>1358</v>
      </c>
      <c r="F133" s="6" t="s">
        <v>1367</v>
      </c>
    </row>
    <row r="134" ht="21.0" customHeight="1">
      <c r="A134" s="6" t="s">
        <v>1612</v>
      </c>
      <c r="B134" s="6" t="s">
        <v>404</v>
      </c>
      <c r="C134" s="27">
        <v>46271.0</v>
      </c>
      <c r="D134" s="27">
        <v>46271.0</v>
      </c>
      <c r="E134" s="6" t="s">
        <v>1358</v>
      </c>
      <c r="F134" s="6" t="s">
        <v>1359</v>
      </c>
    </row>
    <row r="135" ht="21.0" customHeight="1">
      <c r="A135" s="6" t="s">
        <v>1615</v>
      </c>
      <c r="B135" s="6" t="s">
        <v>406</v>
      </c>
      <c r="C135" s="27">
        <v>46271.0</v>
      </c>
      <c r="D135" s="27">
        <v>46272.0</v>
      </c>
      <c r="E135" s="6" t="s">
        <v>1358</v>
      </c>
      <c r="F135" s="6" t="s">
        <v>1367</v>
      </c>
    </row>
    <row r="136" ht="21.0" customHeight="1">
      <c r="A136" s="6" t="s">
        <v>1617</v>
      </c>
      <c r="B136" s="6" t="s">
        <v>408</v>
      </c>
      <c r="C136" s="27">
        <v>46274.0</v>
      </c>
      <c r="D136" s="27">
        <v>46274.0</v>
      </c>
      <c r="E136" s="6" t="s">
        <v>1358</v>
      </c>
      <c r="F136" s="6" t="s">
        <v>1362</v>
      </c>
    </row>
    <row r="137" ht="21.0" customHeight="1">
      <c r="A137" s="6" t="s">
        <v>1621</v>
      </c>
      <c r="B137" s="6" t="s">
        <v>411</v>
      </c>
      <c r="C137" s="27">
        <v>46272.0</v>
      </c>
      <c r="D137" s="27">
        <v>46273.0</v>
      </c>
      <c r="E137" s="6" t="s">
        <v>1358</v>
      </c>
      <c r="F137" s="6" t="s">
        <v>1362</v>
      </c>
    </row>
    <row r="138" ht="21.0" customHeight="1">
      <c r="A138" s="6" t="s">
        <v>1626</v>
      </c>
      <c r="B138" s="6" t="s">
        <v>414</v>
      </c>
      <c r="C138" s="27">
        <v>46274.0</v>
      </c>
      <c r="D138" s="27">
        <v>46273.0</v>
      </c>
      <c r="E138" s="6" t="s">
        <v>1358</v>
      </c>
      <c r="F138" s="6" t="s">
        <v>1362</v>
      </c>
    </row>
    <row r="139" ht="21.0" customHeight="1">
      <c r="A139" s="6" t="s">
        <v>1629</v>
      </c>
      <c r="B139" s="6" t="s">
        <v>416</v>
      </c>
      <c r="C139" s="27">
        <v>46275.0</v>
      </c>
      <c r="D139" s="27">
        <v>46275.0</v>
      </c>
      <c r="E139" s="6" t="s">
        <v>1358</v>
      </c>
      <c r="F139" s="6" t="s">
        <v>1359</v>
      </c>
    </row>
    <row r="140" ht="21.0" customHeight="1">
      <c r="A140" s="6" t="s">
        <v>1633</v>
      </c>
      <c r="B140" s="6" t="s">
        <v>419</v>
      </c>
      <c r="C140" s="27">
        <v>46274.0</v>
      </c>
      <c r="D140" s="27">
        <v>46273.0</v>
      </c>
      <c r="E140" s="6" t="s">
        <v>1358</v>
      </c>
      <c r="F140" s="6" t="s">
        <v>1367</v>
      </c>
    </row>
    <row r="141" ht="21.0" customHeight="1">
      <c r="A141" s="6" t="s">
        <v>1637</v>
      </c>
      <c r="B141" s="6" t="s">
        <v>422</v>
      </c>
      <c r="C141" s="27">
        <v>46273.0</v>
      </c>
      <c r="D141" s="27">
        <v>46273.0</v>
      </c>
      <c r="E141" s="6" t="s">
        <v>1358</v>
      </c>
      <c r="F141" s="6" t="s">
        <v>1362</v>
      </c>
    </row>
    <row r="142" ht="21.0" customHeight="1">
      <c r="A142" s="6" t="s">
        <v>1639</v>
      </c>
      <c r="B142" s="6" t="s">
        <v>426</v>
      </c>
      <c r="C142" s="27">
        <v>46308.0</v>
      </c>
      <c r="D142" s="27"/>
      <c r="E142" s="6" t="s">
        <v>1389</v>
      </c>
      <c r="F142" s="6" t="s">
        <v>1362</v>
      </c>
    </row>
    <row r="143" ht="21.0" customHeight="1">
      <c r="A143" s="6" t="s">
        <v>1643</v>
      </c>
      <c r="B143" s="6" t="s">
        <v>428</v>
      </c>
      <c r="C143" s="27">
        <v>46275.0</v>
      </c>
      <c r="D143" s="27"/>
      <c r="E143" s="6" t="s">
        <v>97</v>
      </c>
      <c r="F143" s="6" t="s">
        <v>1362</v>
      </c>
    </row>
    <row r="144" ht="21.0" customHeight="1">
      <c r="A144" s="6" t="s">
        <v>1647</v>
      </c>
      <c r="B144" s="6" t="s">
        <v>431</v>
      </c>
      <c r="C144" s="27">
        <v>46271.0</v>
      </c>
      <c r="D144" s="27">
        <v>46272.0</v>
      </c>
      <c r="E144" s="6" t="s">
        <v>1358</v>
      </c>
      <c r="F144" s="6" t="s">
        <v>1359</v>
      </c>
    </row>
    <row r="145" ht="21.0" customHeight="1">
      <c r="A145" s="6" t="s">
        <v>1650</v>
      </c>
      <c r="B145" s="6" t="s">
        <v>434</v>
      </c>
      <c r="C145" s="27">
        <v>46274.0</v>
      </c>
      <c r="D145" s="27">
        <v>46272.0</v>
      </c>
      <c r="E145" s="6" t="s">
        <v>1358</v>
      </c>
      <c r="F145" s="6" t="s">
        <v>1367</v>
      </c>
    </row>
    <row r="146" ht="21.0" customHeight="1">
      <c r="A146" s="6" t="s">
        <v>1653</v>
      </c>
      <c r="B146" s="6" t="s">
        <v>438</v>
      </c>
      <c r="C146" s="27">
        <v>46272.0</v>
      </c>
      <c r="D146" s="27">
        <v>46271.0</v>
      </c>
      <c r="E146" s="6" t="s">
        <v>1358</v>
      </c>
      <c r="F146" s="6" t="s">
        <v>1359</v>
      </c>
    </row>
    <row r="147" ht="21.0" customHeight="1">
      <c r="A147" s="6" t="s">
        <v>1656</v>
      </c>
      <c r="B147" s="6" t="s">
        <v>440</v>
      </c>
      <c r="C147" s="27">
        <v>46273.0</v>
      </c>
      <c r="D147" s="27">
        <v>46272.0</v>
      </c>
      <c r="E147" s="6" t="s">
        <v>1358</v>
      </c>
      <c r="F147" s="6" t="s">
        <v>1359</v>
      </c>
    </row>
    <row r="148" ht="21.0" customHeight="1">
      <c r="A148" s="6" t="s">
        <v>1659</v>
      </c>
      <c r="B148" s="6" t="s">
        <v>443</v>
      </c>
      <c r="C148" s="27">
        <v>46273.0</v>
      </c>
      <c r="D148" s="27">
        <v>46273.0</v>
      </c>
      <c r="E148" s="6" t="s">
        <v>1358</v>
      </c>
      <c r="F148" s="6" t="s">
        <v>1367</v>
      </c>
    </row>
    <row r="149" ht="21.0" customHeight="1">
      <c r="A149" s="6" t="s">
        <v>1664</v>
      </c>
      <c r="B149" s="6" t="s">
        <v>446</v>
      </c>
      <c r="C149" s="27">
        <v>46273.0</v>
      </c>
      <c r="D149" s="27">
        <v>46273.0</v>
      </c>
      <c r="E149" s="6" t="s">
        <v>1358</v>
      </c>
      <c r="F149" s="6" t="s">
        <v>1367</v>
      </c>
    </row>
    <row r="150" ht="21.0" customHeight="1">
      <c r="A150" s="6" t="s">
        <v>1668</v>
      </c>
      <c r="B150" s="6" t="s">
        <v>448</v>
      </c>
      <c r="C150" s="27">
        <v>46274.0</v>
      </c>
      <c r="D150" s="27">
        <v>46274.0</v>
      </c>
      <c r="E150" s="6" t="s">
        <v>1358</v>
      </c>
      <c r="F150" s="6" t="s">
        <v>1359</v>
      </c>
    </row>
    <row r="151" ht="21.0" customHeight="1">
      <c r="A151" s="6" t="s">
        <v>1671</v>
      </c>
      <c r="B151" s="6" t="s">
        <v>451</v>
      </c>
      <c r="C151" s="27">
        <v>46273.0</v>
      </c>
      <c r="D151" s="27">
        <v>46271.0</v>
      </c>
      <c r="E151" s="6" t="s">
        <v>1358</v>
      </c>
      <c r="F151" s="6" t="s">
        <v>1367</v>
      </c>
    </row>
    <row r="152" ht="21.0" customHeight="1">
      <c r="A152" s="6" t="s">
        <v>1675</v>
      </c>
      <c r="B152" s="6" t="s">
        <v>456</v>
      </c>
      <c r="C152" s="27">
        <v>46272.0</v>
      </c>
      <c r="D152" s="27">
        <v>46272.0</v>
      </c>
      <c r="E152" s="6" t="s">
        <v>1358</v>
      </c>
      <c r="F152" s="6" t="s">
        <v>1362</v>
      </c>
    </row>
    <row r="153" ht="21.0" customHeight="1">
      <c r="A153" s="6" t="s">
        <v>1678</v>
      </c>
      <c r="B153" s="6" t="s">
        <v>461</v>
      </c>
      <c r="C153" s="27">
        <v>46277.0</v>
      </c>
      <c r="D153" s="27">
        <v>46277.0</v>
      </c>
      <c r="E153" s="6" t="s">
        <v>1358</v>
      </c>
      <c r="F153" s="6" t="s">
        <v>1367</v>
      </c>
    </row>
    <row r="154" ht="21.0" customHeight="1">
      <c r="A154" s="6" t="s">
        <v>1684</v>
      </c>
      <c r="B154" s="6" t="s">
        <v>464</v>
      </c>
      <c r="C154" s="27">
        <v>46273.0</v>
      </c>
      <c r="D154" s="27">
        <v>46273.0</v>
      </c>
      <c r="E154" s="6" t="s">
        <v>1358</v>
      </c>
      <c r="F154" s="6" t="s">
        <v>1362</v>
      </c>
    </row>
    <row r="155" ht="21.0" customHeight="1">
      <c r="A155" s="6" t="s">
        <v>1681</v>
      </c>
      <c r="B155" s="6" t="s">
        <v>467</v>
      </c>
      <c r="C155" s="27">
        <v>46274.0</v>
      </c>
      <c r="D155" s="27"/>
      <c r="E155" s="6" t="s">
        <v>97</v>
      </c>
      <c r="F155" s="6" t="s">
        <v>1362</v>
      </c>
    </row>
    <row r="156" ht="21.0" customHeight="1">
      <c r="A156" s="6" t="s">
        <v>1692</v>
      </c>
      <c r="B156" s="6" t="s">
        <v>470</v>
      </c>
      <c r="C156" s="27">
        <v>46273.0</v>
      </c>
      <c r="D156" s="27">
        <v>46273.0</v>
      </c>
      <c r="E156" s="6" t="s">
        <v>1358</v>
      </c>
      <c r="F156" s="6" t="s">
        <v>1367</v>
      </c>
    </row>
    <row r="157" ht="21.0" customHeight="1">
      <c r="A157" s="6" t="s">
        <v>1695</v>
      </c>
      <c r="B157" s="6" t="s">
        <v>473</v>
      </c>
      <c r="C157" s="27">
        <v>46276.0</v>
      </c>
      <c r="D157" s="27">
        <v>46278.0</v>
      </c>
      <c r="E157" s="6" t="s">
        <v>1358</v>
      </c>
      <c r="F157" s="6" t="s">
        <v>1362</v>
      </c>
    </row>
    <row r="158" ht="21.0" customHeight="1">
      <c r="A158" s="6" t="s">
        <v>1700</v>
      </c>
      <c r="B158" s="6" t="s">
        <v>475</v>
      </c>
      <c r="C158" s="27">
        <v>46276.0</v>
      </c>
      <c r="D158" s="27">
        <v>46277.0</v>
      </c>
      <c r="E158" s="6" t="s">
        <v>1358</v>
      </c>
      <c r="F158" s="6" t="s">
        <v>1359</v>
      </c>
    </row>
    <row r="159" ht="21.0" customHeight="1">
      <c r="A159" s="6" t="s">
        <v>1687</v>
      </c>
      <c r="B159" s="6" t="s">
        <v>478</v>
      </c>
      <c r="C159" s="27">
        <v>46313.0</v>
      </c>
      <c r="D159" s="27"/>
      <c r="E159" s="6" t="s">
        <v>1389</v>
      </c>
      <c r="F159" s="6" t="s">
        <v>1359</v>
      </c>
    </row>
    <row r="160" ht="21.0" customHeight="1">
      <c r="A160" s="6" t="s">
        <v>1707</v>
      </c>
      <c r="B160" s="6" t="s">
        <v>481</v>
      </c>
      <c r="C160" s="27">
        <v>46277.0</v>
      </c>
      <c r="D160" s="27">
        <v>46278.0</v>
      </c>
      <c r="E160" s="6" t="s">
        <v>1358</v>
      </c>
      <c r="F160" s="6" t="s">
        <v>1359</v>
      </c>
    </row>
    <row r="161" ht="21.0" customHeight="1">
      <c r="A161" s="6" t="s">
        <v>1711</v>
      </c>
      <c r="B161" s="6" t="s">
        <v>483</v>
      </c>
      <c r="C161" s="27">
        <v>46278.0</v>
      </c>
      <c r="D161" s="27">
        <v>46280.0</v>
      </c>
      <c r="E161" s="6" t="s">
        <v>1358</v>
      </c>
      <c r="F161" s="6" t="s">
        <v>1359</v>
      </c>
    </row>
    <row r="162" ht="21.0" customHeight="1">
      <c r="A162" s="6" t="s">
        <v>1716</v>
      </c>
      <c r="B162" s="6" t="s">
        <v>487</v>
      </c>
      <c r="C162" s="27">
        <v>46277.0</v>
      </c>
      <c r="D162" s="27">
        <v>46278.0</v>
      </c>
      <c r="E162" s="6" t="s">
        <v>1358</v>
      </c>
      <c r="F162" s="6" t="s">
        <v>1367</v>
      </c>
    </row>
    <row r="163" ht="21.0" customHeight="1">
      <c r="A163" s="6" t="s">
        <v>1719</v>
      </c>
      <c r="B163" s="6" t="s">
        <v>490</v>
      </c>
      <c r="C163" s="27">
        <v>46275.0</v>
      </c>
      <c r="D163" s="27">
        <v>46275.0</v>
      </c>
      <c r="E163" s="6" t="s">
        <v>1358</v>
      </c>
      <c r="F163" s="6" t="s">
        <v>1367</v>
      </c>
    </row>
    <row r="164" ht="21.0" customHeight="1">
      <c r="A164" s="6" t="s">
        <v>1724</v>
      </c>
      <c r="B164" s="6" t="s">
        <v>493</v>
      </c>
      <c r="C164" s="27">
        <v>46276.0</v>
      </c>
      <c r="D164" s="27">
        <v>46275.0</v>
      </c>
      <c r="E164" s="6" t="s">
        <v>1358</v>
      </c>
      <c r="F164" s="6" t="s">
        <v>1367</v>
      </c>
    </row>
    <row r="165" ht="21.0" customHeight="1">
      <c r="A165" s="6" t="s">
        <v>1728</v>
      </c>
      <c r="B165" s="6" t="s">
        <v>496</v>
      </c>
      <c r="C165" s="27">
        <v>46275.0</v>
      </c>
      <c r="D165" s="27">
        <v>46275.0</v>
      </c>
      <c r="E165" s="6" t="s">
        <v>1358</v>
      </c>
      <c r="F165" s="6" t="s">
        <v>1359</v>
      </c>
    </row>
    <row r="166" ht="21.0" customHeight="1">
      <c r="A166" s="6" t="s">
        <v>1733</v>
      </c>
      <c r="B166" s="6" t="s">
        <v>499</v>
      </c>
      <c r="C166" s="27">
        <v>46277.0</v>
      </c>
      <c r="D166" s="27">
        <v>46277.0</v>
      </c>
      <c r="E166" s="6" t="s">
        <v>1358</v>
      </c>
      <c r="F166" s="6" t="s">
        <v>1367</v>
      </c>
    </row>
    <row r="167" ht="21.0" customHeight="1">
      <c r="A167" s="6" t="s">
        <v>1737</v>
      </c>
      <c r="B167" s="6" t="s">
        <v>502</v>
      </c>
      <c r="C167" s="27">
        <v>46276.0</v>
      </c>
      <c r="D167" s="27">
        <v>46274.0</v>
      </c>
      <c r="E167" s="6" t="s">
        <v>1358</v>
      </c>
      <c r="F167" s="6" t="s">
        <v>1359</v>
      </c>
    </row>
    <row r="168" ht="21.0" customHeight="1">
      <c r="A168" s="6" t="s">
        <v>1740</v>
      </c>
      <c r="B168" s="6" t="s">
        <v>504</v>
      </c>
      <c r="C168" s="27">
        <v>46278.0</v>
      </c>
      <c r="D168" s="27">
        <v>46277.0</v>
      </c>
      <c r="E168" s="6" t="s">
        <v>1358</v>
      </c>
      <c r="F168" s="6" t="s">
        <v>1359</v>
      </c>
    </row>
    <row r="169" ht="21.0" customHeight="1">
      <c r="A169" s="6" t="s">
        <v>1744</v>
      </c>
      <c r="B169" s="6" t="s">
        <v>506</v>
      </c>
      <c r="C169" s="27">
        <v>46276.0</v>
      </c>
      <c r="D169" s="27">
        <v>46277.0</v>
      </c>
      <c r="E169" s="6" t="s">
        <v>1358</v>
      </c>
      <c r="F169" s="6" t="s">
        <v>1367</v>
      </c>
    </row>
    <row r="170" ht="21.0" customHeight="1">
      <c r="A170" s="6" t="s">
        <v>1749</v>
      </c>
      <c r="B170" s="6" t="s">
        <v>508</v>
      </c>
      <c r="C170" s="27">
        <v>46278.0</v>
      </c>
      <c r="D170" s="27">
        <v>46278.0</v>
      </c>
      <c r="E170" s="6" t="s">
        <v>1358</v>
      </c>
      <c r="F170" s="6" t="s">
        <v>1359</v>
      </c>
    </row>
    <row r="171" ht="21.0" customHeight="1">
      <c r="A171" s="6" t="s">
        <v>1751</v>
      </c>
      <c r="B171" s="6" t="s">
        <v>510</v>
      </c>
      <c r="C171" s="27">
        <v>46276.0</v>
      </c>
      <c r="D171" s="27">
        <v>46276.0</v>
      </c>
      <c r="E171" s="6" t="s">
        <v>1358</v>
      </c>
      <c r="F171" s="6" t="s">
        <v>1359</v>
      </c>
    </row>
    <row r="172" ht="21.0" customHeight="1">
      <c r="A172" s="6" t="s">
        <v>1757</v>
      </c>
      <c r="B172" s="6" t="s">
        <v>512</v>
      </c>
      <c r="C172" s="27">
        <v>46278.0</v>
      </c>
      <c r="D172" s="27">
        <v>46278.0</v>
      </c>
      <c r="E172" s="6" t="s">
        <v>1358</v>
      </c>
      <c r="F172" s="6" t="s">
        <v>1362</v>
      </c>
    </row>
    <row r="173" ht="21.0" customHeight="1">
      <c r="A173" s="6" t="s">
        <v>1761</v>
      </c>
      <c r="B173" s="6" t="s">
        <v>515</v>
      </c>
      <c r="C173" s="27">
        <v>46278.0</v>
      </c>
      <c r="D173" s="27">
        <v>46278.0</v>
      </c>
      <c r="E173" s="6" t="s">
        <v>1358</v>
      </c>
      <c r="F173" s="6" t="s">
        <v>1359</v>
      </c>
    </row>
    <row r="174" ht="21.0" customHeight="1">
      <c r="A174" s="6" t="s">
        <v>1765</v>
      </c>
      <c r="B174" s="6" t="s">
        <v>517</v>
      </c>
      <c r="C174" s="27">
        <v>46275.0</v>
      </c>
      <c r="D174" s="27">
        <v>46274.0</v>
      </c>
      <c r="E174" s="6" t="s">
        <v>1358</v>
      </c>
      <c r="F174" s="6" t="s">
        <v>1359</v>
      </c>
    </row>
    <row r="175" ht="21.0" customHeight="1">
      <c r="A175" s="6" t="s">
        <v>1768</v>
      </c>
      <c r="B175" s="6" t="s">
        <v>519</v>
      </c>
      <c r="C175" s="27">
        <v>46277.0</v>
      </c>
      <c r="D175" s="27">
        <v>46277.0</v>
      </c>
      <c r="E175" s="6" t="s">
        <v>1358</v>
      </c>
      <c r="F175" s="6" t="s">
        <v>1367</v>
      </c>
    </row>
    <row r="176" ht="21.0" customHeight="1">
      <c r="A176" s="6" t="s">
        <v>1772</v>
      </c>
      <c r="B176" s="6" t="s">
        <v>521</v>
      </c>
      <c r="C176" s="27">
        <v>46277.0</v>
      </c>
      <c r="D176" s="27">
        <v>46278.0</v>
      </c>
      <c r="E176" s="6" t="s">
        <v>1358</v>
      </c>
      <c r="F176" s="6" t="s">
        <v>1367</v>
      </c>
    </row>
    <row r="177" ht="21.0" customHeight="1">
      <c r="A177" s="6" t="s">
        <v>1693</v>
      </c>
      <c r="B177" s="6" t="s">
        <v>525</v>
      </c>
      <c r="C177" s="27">
        <v>46314.0</v>
      </c>
      <c r="D177" s="27"/>
      <c r="E177" s="6" t="s">
        <v>1389</v>
      </c>
      <c r="F177" s="6" t="s">
        <v>1367</v>
      </c>
    </row>
    <row r="178" ht="21.0" customHeight="1">
      <c r="A178" s="6" t="s">
        <v>1780</v>
      </c>
      <c r="B178" s="6" t="s">
        <v>527</v>
      </c>
      <c r="C178" s="27">
        <v>46278.0</v>
      </c>
      <c r="D178" s="27">
        <v>46278.0</v>
      </c>
      <c r="E178" s="6" t="s">
        <v>1358</v>
      </c>
      <c r="F178" s="6" t="s">
        <v>1362</v>
      </c>
    </row>
    <row r="179" ht="21.0" customHeight="1">
      <c r="A179" s="6" t="s">
        <v>1783</v>
      </c>
      <c r="B179" s="6" t="s">
        <v>531</v>
      </c>
      <c r="C179" s="27">
        <v>46276.0</v>
      </c>
      <c r="D179" s="27">
        <v>46276.0</v>
      </c>
      <c r="E179" s="6" t="s">
        <v>1358</v>
      </c>
      <c r="F179" s="6" t="s">
        <v>1359</v>
      </c>
    </row>
    <row r="180" ht="21.0" customHeight="1">
      <c r="A180" s="6" t="s">
        <v>1786</v>
      </c>
      <c r="B180" s="6" t="s">
        <v>536</v>
      </c>
      <c r="C180" s="27">
        <v>46279.0</v>
      </c>
      <c r="D180" s="27">
        <v>46280.0</v>
      </c>
      <c r="E180" s="6" t="s">
        <v>1358</v>
      </c>
      <c r="F180" s="6" t="s">
        <v>1359</v>
      </c>
    </row>
    <row r="181" ht="21.0" customHeight="1">
      <c r="A181" s="6" t="s">
        <v>1791</v>
      </c>
      <c r="B181" s="6" t="s">
        <v>539</v>
      </c>
      <c r="C181" s="27">
        <v>46279.0</v>
      </c>
      <c r="D181" s="27">
        <v>46278.0</v>
      </c>
      <c r="E181" s="6" t="s">
        <v>1358</v>
      </c>
      <c r="F181" s="6" t="s">
        <v>1362</v>
      </c>
    </row>
    <row r="182" ht="21.0" customHeight="1">
      <c r="A182" s="6" t="s">
        <v>1795</v>
      </c>
      <c r="B182" s="6" t="s">
        <v>542</v>
      </c>
      <c r="C182" s="27">
        <v>46276.0</v>
      </c>
      <c r="D182" s="27">
        <v>46278.0</v>
      </c>
      <c r="E182" s="6" t="s">
        <v>1358</v>
      </c>
      <c r="F182" s="6" t="s">
        <v>1367</v>
      </c>
    </row>
    <row r="183" ht="21.0" customHeight="1">
      <c r="A183" s="6" t="s">
        <v>1799</v>
      </c>
      <c r="B183" s="6" t="s">
        <v>544</v>
      </c>
      <c r="C183" s="27">
        <v>46280.0</v>
      </c>
      <c r="D183" s="27">
        <v>46281.0</v>
      </c>
      <c r="E183" s="6" t="s">
        <v>1358</v>
      </c>
      <c r="F183" s="6" t="s">
        <v>1367</v>
      </c>
    </row>
    <row r="184" ht="21.0" customHeight="1">
      <c r="A184" s="6" t="s">
        <v>1803</v>
      </c>
      <c r="B184" s="6" t="s">
        <v>547</v>
      </c>
      <c r="C184" s="27">
        <v>46280.0</v>
      </c>
      <c r="D184" s="27">
        <v>46280.0</v>
      </c>
      <c r="E184" s="6" t="s">
        <v>1358</v>
      </c>
      <c r="F184" s="6" t="s">
        <v>1367</v>
      </c>
    </row>
    <row r="185" ht="21.0" customHeight="1">
      <c r="A185" s="6" t="s">
        <v>1807</v>
      </c>
      <c r="B185" s="6" t="s">
        <v>549</v>
      </c>
      <c r="C185" s="27">
        <v>46279.0</v>
      </c>
      <c r="D185" s="27">
        <v>46279.0</v>
      </c>
      <c r="E185" s="6" t="s">
        <v>1358</v>
      </c>
      <c r="F185" s="6" t="s">
        <v>1362</v>
      </c>
    </row>
    <row r="186" ht="21.0" customHeight="1">
      <c r="A186" s="6" t="s">
        <v>1813</v>
      </c>
      <c r="B186" s="6" t="s">
        <v>552</v>
      </c>
      <c r="C186" s="27">
        <v>46278.0</v>
      </c>
      <c r="D186" s="27">
        <v>46280.0</v>
      </c>
      <c r="E186" s="6" t="s">
        <v>1358</v>
      </c>
      <c r="F186" s="6" t="s">
        <v>1359</v>
      </c>
    </row>
    <row r="187" ht="21.0" customHeight="1">
      <c r="A187" s="6" t="s">
        <v>1816</v>
      </c>
      <c r="B187" s="6" t="s">
        <v>555</v>
      </c>
      <c r="C187" s="27">
        <v>46278.0</v>
      </c>
      <c r="D187" s="27">
        <v>46277.0</v>
      </c>
      <c r="E187" s="6" t="s">
        <v>1358</v>
      </c>
      <c r="F187" s="6" t="s">
        <v>1362</v>
      </c>
    </row>
    <row r="188" ht="21.0" customHeight="1">
      <c r="A188" s="6" t="s">
        <v>1699</v>
      </c>
      <c r="B188" s="6" t="s">
        <v>557</v>
      </c>
      <c r="C188" s="27">
        <v>46306.0</v>
      </c>
      <c r="D188" s="27"/>
      <c r="E188" s="6" t="s">
        <v>1389</v>
      </c>
      <c r="F188" s="6" t="s">
        <v>1367</v>
      </c>
    </row>
    <row r="189" ht="21.0" customHeight="1">
      <c r="A189" s="6" t="s">
        <v>1831</v>
      </c>
      <c r="B189" s="6" t="s">
        <v>560</v>
      </c>
      <c r="C189" s="27">
        <v>46277.0</v>
      </c>
      <c r="D189" s="27">
        <v>46275.0</v>
      </c>
      <c r="E189" s="6" t="s">
        <v>1358</v>
      </c>
      <c r="F189" s="6" t="s">
        <v>1359</v>
      </c>
    </row>
    <row r="190" ht="21.0" customHeight="1">
      <c r="A190" s="6" t="s">
        <v>1835</v>
      </c>
      <c r="B190" s="6" t="s">
        <v>562</v>
      </c>
      <c r="C190" s="27">
        <v>46278.0</v>
      </c>
      <c r="D190" s="27">
        <v>46279.0</v>
      </c>
      <c r="E190" s="6" t="s">
        <v>1358</v>
      </c>
      <c r="F190" s="6" t="s">
        <v>1362</v>
      </c>
    </row>
    <row r="191" ht="21.0" customHeight="1">
      <c r="A191" s="6" t="s">
        <v>1839</v>
      </c>
      <c r="B191" s="6" t="s">
        <v>565</v>
      </c>
      <c r="C191" s="27">
        <v>46281.0</v>
      </c>
      <c r="D191" s="27">
        <v>46281.0</v>
      </c>
      <c r="E191" s="6" t="s">
        <v>1358</v>
      </c>
      <c r="F191" s="6" t="s">
        <v>1367</v>
      </c>
    </row>
    <row r="192" ht="21.0" customHeight="1">
      <c r="A192" s="6" t="s">
        <v>1843</v>
      </c>
      <c r="B192" s="6" t="s">
        <v>567</v>
      </c>
      <c r="C192" s="27">
        <v>46280.0</v>
      </c>
      <c r="D192" s="27">
        <v>46279.0</v>
      </c>
      <c r="E192" s="6" t="s">
        <v>1358</v>
      </c>
      <c r="F192" s="6" t="s">
        <v>1367</v>
      </c>
    </row>
    <row r="193" ht="21.0" customHeight="1">
      <c r="A193" s="6" t="s">
        <v>1847</v>
      </c>
      <c r="B193" s="6" t="s">
        <v>570</v>
      </c>
      <c r="C193" s="27">
        <v>46279.0</v>
      </c>
      <c r="D193" s="27">
        <v>46281.0</v>
      </c>
      <c r="E193" s="6" t="s">
        <v>1358</v>
      </c>
      <c r="F193" s="6" t="s">
        <v>1362</v>
      </c>
    </row>
    <row r="194" ht="21.0" customHeight="1">
      <c r="A194" s="6" t="s">
        <v>1852</v>
      </c>
      <c r="B194" s="6" t="s">
        <v>572</v>
      </c>
      <c r="C194" s="27">
        <v>46280.0</v>
      </c>
      <c r="D194" s="27">
        <v>46282.0</v>
      </c>
      <c r="E194" s="6" t="s">
        <v>1358</v>
      </c>
      <c r="F194" s="6" t="s">
        <v>1362</v>
      </c>
    </row>
    <row r="195" ht="21.0" customHeight="1">
      <c r="A195" s="6" t="s">
        <v>1855</v>
      </c>
      <c r="B195" s="6" t="s">
        <v>575</v>
      </c>
      <c r="C195" s="27">
        <v>46279.0</v>
      </c>
      <c r="D195" s="27">
        <v>46278.0</v>
      </c>
      <c r="E195" s="6" t="s">
        <v>1358</v>
      </c>
      <c r="F195" s="6" t="s">
        <v>1359</v>
      </c>
    </row>
    <row r="196" ht="21.0" customHeight="1">
      <c r="A196" s="6" t="s">
        <v>1859</v>
      </c>
      <c r="B196" s="6" t="s">
        <v>578</v>
      </c>
      <c r="C196" s="27">
        <v>46281.0</v>
      </c>
      <c r="D196" s="27">
        <v>46281.0</v>
      </c>
      <c r="E196" s="6" t="s">
        <v>1358</v>
      </c>
      <c r="F196" s="6" t="s">
        <v>1359</v>
      </c>
    </row>
    <row r="197" ht="21.0" customHeight="1">
      <c r="A197" s="6" t="s">
        <v>1862</v>
      </c>
      <c r="B197" s="6" t="s">
        <v>582</v>
      </c>
      <c r="C197" s="27">
        <v>46280.0</v>
      </c>
      <c r="D197" s="27">
        <v>46278.0</v>
      </c>
      <c r="E197" s="6" t="s">
        <v>1358</v>
      </c>
      <c r="F197" s="6" t="s">
        <v>1367</v>
      </c>
    </row>
    <row r="198" ht="21.0" customHeight="1">
      <c r="A198" s="6" t="s">
        <v>1867</v>
      </c>
      <c r="B198" s="6" t="s">
        <v>585</v>
      </c>
      <c r="C198" s="27">
        <v>46280.0</v>
      </c>
      <c r="D198" s="27">
        <v>46280.0</v>
      </c>
      <c r="E198" s="6" t="s">
        <v>1358</v>
      </c>
      <c r="F198" s="6" t="s">
        <v>1362</v>
      </c>
    </row>
    <row r="199" ht="21.0" customHeight="1">
      <c r="A199" s="6" t="s">
        <v>1870</v>
      </c>
      <c r="B199" s="6" t="s">
        <v>590</v>
      </c>
      <c r="C199" s="27">
        <v>46279.0</v>
      </c>
      <c r="D199" s="27">
        <v>46279.0</v>
      </c>
      <c r="E199" s="6" t="s">
        <v>1358</v>
      </c>
      <c r="F199" s="6" t="s">
        <v>1359</v>
      </c>
    </row>
    <row r="200" ht="21.0" customHeight="1">
      <c r="A200" s="6" t="s">
        <v>1703</v>
      </c>
      <c r="B200" s="6" t="s">
        <v>595</v>
      </c>
      <c r="C200" s="27">
        <v>46306.0</v>
      </c>
      <c r="D200" s="27"/>
      <c r="E200" s="6" t="s">
        <v>1389</v>
      </c>
      <c r="F200" s="6" t="s">
        <v>1367</v>
      </c>
    </row>
    <row r="201" ht="21.0" customHeight="1">
      <c r="A201" s="6" t="s">
        <v>1877</v>
      </c>
      <c r="B201" s="6" t="s">
        <v>599</v>
      </c>
      <c r="C201" s="27">
        <v>46282.0</v>
      </c>
      <c r="D201" s="27">
        <v>46284.0</v>
      </c>
      <c r="E201" s="6" t="s">
        <v>1358</v>
      </c>
      <c r="F201" s="6" t="s">
        <v>1359</v>
      </c>
    </row>
    <row r="202" ht="21.0" customHeight="1">
      <c r="A202" s="6" t="s">
        <v>1882</v>
      </c>
      <c r="B202" s="6" t="s">
        <v>603</v>
      </c>
      <c r="C202" s="27">
        <v>46279.0</v>
      </c>
      <c r="D202" s="27">
        <v>46279.0</v>
      </c>
      <c r="E202" s="6" t="s">
        <v>1358</v>
      </c>
      <c r="F202" s="6" t="s">
        <v>1367</v>
      </c>
    </row>
    <row r="203" ht="21.0" customHeight="1">
      <c r="A203" s="6" t="s">
        <v>1706</v>
      </c>
      <c r="B203" s="6" t="s">
        <v>605</v>
      </c>
      <c r="C203" s="27">
        <v>46283.0</v>
      </c>
      <c r="D203" s="27"/>
      <c r="E203" s="6" t="s">
        <v>97</v>
      </c>
      <c r="F203" s="6" t="s">
        <v>1359</v>
      </c>
    </row>
    <row r="204" ht="21.0" customHeight="1">
      <c r="A204" s="6" t="s">
        <v>1889</v>
      </c>
      <c r="B204" s="6" t="s">
        <v>608</v>
      </c>
      <c r="C204" s="27">
        <v>46281.0</v>
      </c>
      <c r="D204" s="27">
        <v>46279.0</v>
      </c>
      <c r="E204" s="6" t="s">
        <v>1358</v>
      </c>
      <c r="F204" s="6" t="s">
        <v>1367</v>
      </c>
    </row>
    <row r="205" ht="21.0" customHeight="1">
      <c r="A205" s="6" t="s">
        <v>1893</v>
      </c>
      <c r="B205" s="6" t="s">
        <v>610</v>
      </c>
      <c r="C205" s="27">
        <v>46283.0</v>
      </c>
      <c r="D205" s="27">
        <v>46283.0</v>
      </c>
      <c r="E205" s="6" t="s">
        <v>1358</v>
      </c>
      <c r="F205" s="6" t="s">
        <v>1359</v>
      </c>
    </row>
    <row r="206" ht="21.0" customHeight="1">
      <c r="A206" s="6" t="s">
        <v>1897</v>
      </c>
      <c r="B206" s="6" t="s">
        <v>613</v>
      </c>
      <c r="C206" s="27">
        <v>46283.0</v>
      </c>
      <c r="D206" s="27">
        <v>46283.0</v>
      </c>
      <c r="E206" s="6" t="s">
        <v>1358</v>
      </c>
      <c r="F206" s="6" t="s">
        <v>1362</v>
      </c>
    </row>
    <row r="207" ht="21.0" customHeight="1">
      <c r="A207" s="6" t="s">
        <v>1900</v>
      </c>
      <c r="B207" s="6" t="s">
        <v>615</v>
      </c>
      <c r="C207" s="27">
        <v>46282.0</v>
      </c>
      <c r="D207" s="27">
        <v>46281.0</v>
      </c>
      <c r="E207" s="6" t="s">
        <v>1358</v>
      </c>
      <c r="F207" s="6" t="s">
        <v>1367</v>
      </c>
    </row>
    <row r="208" ht="21.0" customHeight="1">
      <c r="A208" s="6" t="s">
        <v>1903</v>
      </c>
      <c r="B208" s="6" t="s">
        <v>618</v>
      </c>
      <c r="C208" s="27">
        <v>46283.0</v>
      </c>
      <c r="D208" s="27">
        <v>46283.0</v>
      </c>
      <c r="E208" s="6" t="s">
        <v>1358</v>
      </c>
      <c r="F208" s="6" t="s">
        <v>1367</v>
      </c>
    </row>
    <row r="209" ht="21.0" customHeight="1">
      <c r="A209" s="6" t="s">
        <v>1907</v>
      </c>
      <c r="B209" s="6" t="s">
        <v>620</v>
      </c>
      <c r="C209" s="27">
        <v>46282.0</v>
      </c>
      <c r="D209" s="27">
        <v>46283.0</v>
      </c>
      <c r="E209" s="6" t="s">
        <v>1358</v>
      </c>
      <c r="F209" s="6" t="s">
        <v>1359</v>
      </c>
    </row>
    <row r="210" ht="21.0" customHeight="1">
      <c r="A210" s="6" t="s">
        <v>1909</v>
      </c>
      <c r="B210" s="6" t="s">
        <v>623</v>
      </c>
      <c r="C210" s="27">
        <v>46283.0</v>
      </c>
      <c r="D210" s="27">
        <v>46283.0</v>
      </c>
      <c r="E210" s="6" t="s">
        <v>1358</v>
      </c>
      <c r="F210" s="6" t="s">
        <v>1362</v>
      </c>
    </row>
    <row r="211" ht="21.0" customHeight="1">
      <c r="A211" s="6" t="s">
        <v>1913</v>
      </c>
      <c r="B211" s="6" t="s">
        <v>625</v>
      </c>
      <c r="C211" s="27">
        <v>46280.0</v>
      </c>
      <c r="D211" s="27">
        <v>46279.0</v>
      </c>
      <c r="E211" s="6" t="s">
        <v>1358</v>
      </c>
      <c r="F211" s="6" t="s">
        <v>1367</v>
      </c>
    </row>
    <row r="212" ht="21.0" customHeight="1">
      <c r="A212" s="6" t="s">
        <v>1917</v>
      </c>
      <c r="B212" s="6" t="s">
        <v>628</v>
      </c>
      <c r="C212" s="27">
        <v>46283.0</v>
      </c>
      <c r="D212" s="27">
        <v>46282.0</v>
      </c>
      <c r="E212" s="6" t="s">
        <v>1358</v>
      </c>
      <c r="F212" s="6" t="s">
        <v>1362</v>
      </c>
    </row>
    <row r="213" ht="21.0" customHeight="1">
      <c r="A213" s="6" t="s">
        <v>1921</v>
      </c>
      <c r="B213" s="6" t="s">
        <v>630</v>
      </c>
      <c r="C213" s="27">
        <v>46280.0</v>
      </c>
      <c r="D213" s="27">
        <v>46280.0</v>
      </c>
      <c r="E213" s="6" t="s">
        <v>1358</v>
      </c>
      <c r="F213" s="6" t="s">
        <v>1362</v>
      </c>
    </row>
    <row r="214" ht="21.0" customHeight="1">
      <c r="A214" s="6" t="s">
        <v>1925</v>
      </c>
      <c r="B214" s="6" t="s">
        <v>633</v>
      </c>
      <c r="C214" s="27">
        <v>46283.0</v>
      </c>
      <c r="D214" s="27">
        <v>46285.0</v>
      </c>
      <c r="E214" s="6" t="s">
        <v>1358</v>
      </c>
      <c r="F214" s="6" t="s">
        <v>1362</v>
      </c>
    </row>
    <row r="215" ht="21.0" customHeight="1">
      <c r="A215" s="6" t="s">
        <v>1928</v>
      </c>
      <c r="B215" s="6" t="s">
        <v>635</v>
      </c>
      <c r="C215" s="27">
        <v>46282.0</v>
      </c>
      <c r="D215" s="27">
        <v>46281.0</v>
      </c>
      <c r="E215" s="6" t="s">
        <v>1358</v>
      </c>
      <c r="F215" s="6" t="s">
        <v>1359</v>
      </c>
    </row>
    <row r="216" ht="21.0" customHeight="1">
      <c r="A216" s="6" t="s">
        <v>1932</v>
      </c>
      <c r="B216" s="6" t="s">
        <v>638</v>
      </c>
      <c r="C216" s="27">
        <v>46282.0</v>
      </c>
      <c r="D216" s="27">
        <v>46282.0</v>
      </c>
      <c r="E216" s="6" t="s">
        <v>1358</v>
      </c>
      <c r="F216" s="6" t="s">
        <v>1367</v>
      </c>
    </row>
    <row r="217" ht="21.0" customHeight="1">
      <c r="A217" s="6" t="s">
        <v>1712</v>
      </c>
      <c r="B217" s="6" t="s">
        <v>640</v>
      </c>
      <c r="C217" s="27">
        <v>46305.0</v>
      </c>
      <c r="D217" s="27"/>
      <c r="E217" s="6" t="s">
        <v>1389</v>
      </c>
      <c r="F217" s="6" t="s">
        <v>1359</v>
      </c>
    </row>
    <row r="218" ht="21.0" customHeight="1">
      <c r="A218" s="6" t="s">
        <v>1939</v>
      </c>
      <c r="B218" s="6" t="s">
        <v>643</v>
      </c>
      <c r="C218" s="27">
        <v>46283.0</v>
      </c>
      <c r="D218" s="27">
        <v>46284.0</v>
      </c>
      <c r="E218" s="6" t="s">
        <v>1358</v>
      </c>
      <c r="F218" s="6" t="s">
        <v>1367</v>
      </c>
    </row>
    <row r="219" ht="21.0" customHeight="1">
      <c r="A219" s="6" t="s">
        <v>1943</v>
      </c>
      <c r="B219" s="6" t="s">
        <v>645</v>
      </c>
      <c r="C219" s="27">
        <v>46284.0</v>
      </c>
      <c r="D219" s="27">
        <v>46284.0</v>
      </c>
      <c r="E219" s="6" t="s">
        <v>1358</v>
      </c>
      <c r="F219" s="6" t="s">
        <v>1359</v>
      </c>
    </row>
    <row r="220" ht="21.0" customHeight="1">
      <c r="A220" s="6" t="s">
        <v>1948</v>
      </c>
      <c r="B220" s="6" t="s">
        <v>648</v>
      </c>
      <c r="C220" s="27">
        <v>46282.0</v>
      </c>
      <c r="D220" s="27">
        <v>46283.0</v>
      </c>
      <c r="E220" s="6" t="s">
        <v>1358</v>
      </c>
      <c r="F220" s="6" t="s">
        <v>1367</v>
      </c>
    </row>
    <row r="221" ht="21.0" customHeight="1">
      <c r="A221" s="6" t="s">
        <v>1951</v>
      </c>
      <c r="B221" s="6" t="s">
        <v>651</v>
      </c>
      <c r="C221" s="27">
        <v>46285.0</v>
      </c>
      <c r="D221" s="27">
        <v>46285.0</v>
      </c>
      <c r="E221" s="6" t="s">
        <v>1358</v>
      </c>
      <c r="F221" s="6" t="s">
        <v>1359</v>
      </c>
    </row>
    <row r="222" ht="21.0" customHeight="1">
      <c r="A222" s="6" t="s">
        <v>1956</v>
      </c>
      <c r="B222" s="6" t="s">
        <v>653</v>
      </c>
      <c r="C222" s="27">
        <v>46285.0</v>
      </c>
      <c r="D222" s="27">
        <v>46283.0</v>
      </c>
      <c r="E222" s="6" t="s">
        <v>1358</v>
      </c>
      <c r="F222" s="6" t="s">
        <v>1359</v>
      </c>
    </row>
    <row r="223" ht="21.0" customHeight="1">
      <c r="A223" s="6" t="s">
        <v>1959</v>
      </c>
      <c r="B223" s="6" t="s">
        <v>656</v>
      </c>
      <c r="C223" s="27">
        <v>46284.0</v>
      </c>
      <c r="D223" s="27">
        <v>46286.0</v>
      </c>
      <c r="E223" s="6" t="s">
        <v>1358</v>
      </c>
      <c r="F223" s="6" t="s">
        <v>1359</v>
      </c>
    </row>
    <row r="224" ht="21.0" customHeight="1">
      <c r="A224" s="6" t="s">
        <v>1964</v>
      </c>
      <c r="B224" s="6" t="s">
        <v>658</v>
      </c>
      <c r="C224" s="27">
        <v>46284.0</v>
      </c>
      <c r="D224" s="27">
        <v>46284.0</v>
      </c>
      <c r="E224" s="6" t="s">
        <v>1358</v>
      </c>
      <c r="F224" s="6" t="s">
        <v>1359</v>
      </c>
    </row>
    <row r="225" ht="21.0" customHeight="1">
      <c r="A225" s="6" t="s">
        <v>1967</v>
      </c>
      <c r="B225" s="6" t="s">
        <v>661</v>
      </c>
      <c r="C225" s="27">
        <v>46286.0</v>
      </c>
      <c r="D225" s="27">
        <v>46287.0</v>
      </c>
      <c r="E225" s="6" t="s">
        <v>1358</v>
      </c>
      <c r="F225" s="6" t="s">
        <v>1362</v>
      </c>
    </row>
    <row r="226" ht="21.0" customHeight="1">
      <c r="A226" s="6" t="s">
        <v>1972</v>
      </c>
      <c r="B226" s="6" t="s">
        <v>663</v>
      </c>
      <c r="C226" s="27">
        <v>46282.0</v>
      </c>
      <c r="D226" s="27">
        <v>46282.0</v>
      </c>
      <c r="E226" s="6" t="s">
        <v>1358</v>
      </c>
      <c r="F226" s="6" t="s">
        <v>1362</v>
      </c>
    </row>
    <row r="227" ht="21.0" customHeight="1">
      <c r="A227" s="6" t="s">
        <v>1975</v>
      </c>
      <c r="B227" s="6" t="s">
        <v>666</v>
      </c>
      <c r="C227" s="27">
        <v>46285.0</v>
      </c>
      <c r="D227" s="27">
        <v>46286.0</v>
      </c>
      <c r="E227" s="6" t="s">
        <v>1358</v>
      </c>
      <c r="F227" s="6" t="s">
        <v>1367</v>
      </c>
    </row>
    <row r="228" ht="21.0" customHeight="1">
      <c r="A228" s="6" t="s">
        <v>1980</v>
      </c>
      <c r="B228" s="6" t="s">
        <v>668</v>
      </c>
      <c r="C228" s="27">
        <v>46283.0</v>
      </c>
      <c r="D228" s="27">
        <v>46285.0</v>
      </c>
      <c r="E228" s="6" t="s">
        <v>1358</v>
      </c>
      <c r="F228" s="6" t="s">
        <v>1367</v>
      </c>
    </row>
    <row r="229" ht="21.0" customHeight="1">
      <c r="A229" s="6" t="s">
        <v>1982</v>
      </c>
      <c r="B229" s="6" t="s">
        <v>671</v>
      </c>
      <c r="C229" s="27">
        <v>46284.0</v>
      </c>
      <c r="D229" s="27">
        <v>46284.0</v>
      </c>
      <c r="E229" s="6" t="s">
        <v>1358</v>
      </c>
      <c r="F229" s="6" t="s">
        <v>1362</v>
      </c>
    </row>
    <row r="230" ht="21.0" customHeight="1">
      <c r="A230" s="6" t="s">
        <v>1718</v>
      </c>
      <c r="B230" s="6" t="s">
        <v>673</v>
      </c>
      <c r="C230" s="27">
        <v>46311.0</v>
      </c>
      <c r="D230" s="27"/>
      <c r="E230" s="6" t="s">
        <v>1389</v>
      </c>
      <c r="F230" s="6" t="s">
        <v>1367</v>
      </c>
    </row>
    <row r="231" ht="21.0" customHeight="1">
      <c r="A231" s="6" t="s">
        <v>1989</v>
      </c>
      <c r="B231" s="6" t="s">
        <v>677</v>
      </c>
      <c r="C231" s="27">
        <v>46287.0</v>
      </c>
      <c r="D231" s="27">
        <v>46285.0</v>
      </c>
      <c r="E231" s="6" t="s">
        <v>1358</v>
      </c>
      <c r="F231" s="6" t="s">
        <v>1362</v>
      </c>
    </row>
    <row r="232" ht="21.0" customHeight="1">
      <c r="A232" s="6" t="s">
        <v>1994</v>
      </c>
      <c r="B232" s="6" t="s">
        <v>679</v>
      </c>
      <c r="C232" s="27">
        <v>46287.0</v>
      </c>
      <c r="D232" s="27">
        <v>46287.0</v>
      </c>
      <c r="E232" s="6" t="s">
        <v>1358</v>
      </c>
      <c r="F232" s="6" t="s">
        <v>1367</v>
      </c>
    </row>
    <row r="233" ht="21.0" customHeight="1">
      <c r="A233" s="6" t="s">
        <v>1997</v>
      </c>
      <c r="B233" s="6" t="s">
        <v>682</v>
      </c>
      <c r="C233" s="27">
        <v>46284.0</v>
      </c>
      <c r="D233" s="27">
        <v>46286.0</v>
      </c>
      <c r="E233" s="6" t="s">
        <v>1358</v>
      </c>
      <c r="F233" s="6" t="s">
        <v>1362</v>
      </c>
    </row>
    <row r="234" ht="21.0" customHeight="1">
      <c r="A234" s="6" t="s">
        <v>2002</v>
      </c>
      <c r="B234" s="6" t="s">
        <v>684</v>
      </c>
      <c r="C234" s="27">
        <v>46285.0</v>
      </c>
      <c r="D234" s="27">
        <v>46285.0</v>
      </c>
      <c r="E234" s="6" t="s">
        <v>1358</v>
      </c>
      <c r="F234" s="6" t="s">
        <v>1362</v>
      </c>
    </row>
    <row r="235" ht="21.0" customHeight="1">
      <c r="A235" s="6" t="s">
        <v>2005</v>
      </c>
      <c r="B235" s="6" t="s">
        <v>687</v>
      </c>
      <c r="C235" s="27">
        <v>46286.0</v>
      </c>
      <c r="D235" s="27">
        <v>46286.0</v>
      </c>
      <c r="E235" s="6" t="s">
        <v>1358</v>
      </c>
      <c r="F235" s="6" t="s">
        <v>1362</v>
      </c>
    </row>
    <row r="236" ht="21.0" customHeight="1">
      <c r="A236" s="6" t="s">
        <v>2010</v>
      </c>
      <c r="B236" s="6" t="s">
        <v>689</v>
      </c>
      <c r="C236" s="27">
        <v>46286.0</v>
      </c>
      <c r="D236" s="27">
        <v>46286.0</v>
      </c>
      <c r="E236" s="6" t="s">
        <v>1358</v>
      </c>
      <c r="F236" s="6" t="s">
        <v>1359</v>
      </c>
    </row>
    <row r="237" ht="21.0" customHeight="1">
      <c r="A237" s="6" t="s">
        <v>2012</v>
      </c>
      <c r="B237" s="6" t="s">
        <v>692</v>
      </c>
      <c r="C237" s="27">
        <v>46286.0</v>
      </c>
      <c r="D237" s="27">
        <v>46286.0</v>
      </c>
      <c r="E237" s="6" t="s">
        <v>1358</v>
      </c>
      <c r="F237" s="6" t="s">
        <v>1362</v>
      </c>
    </row>
    <row r="238" ht="21.0" customHeight="1">
      <c r="A238" s="6" t="s">
        <v>2016</v>
      </c>
      <c r="B238" s="6" t="s">
        <v>695</v>
      </c>
      <c r="C238" s="27">
        <v>46284.0</v>
      </c>
      <c r="D238" s="27">
        <v>46285.0</v>
      </c>
      <c r="E238" s="6" t="s">
        <v>1358</v>
      </c>
      <c r="F238" s="6" t="s">
        <v>1367</v>
      </c>
    </row>
    <row r="239" ht="21.0" customHeight="1">
      <c r="A239" s="6" t="s">
        <v>2018</v>
      </c>
      <c r="B239" s="6" t="s">
        <v>697</v>
      </c>
      <c r="C239" s="27">
        <v>46285.0</v>
      </c>
      <c r="D239" s="27">
        <v>46285.0</v>
      </c>
      <c r="E239" s="6" t="s">
        <v>1358</v>
      </c>
      <c r="F239" s="6" t="s">
        <v>1359</v>
      </c>
    </row>
    <row r="240" ht="21.0" customHeight="1">
      <c r="A240" s="6" t="s">
        <v>2023</v>
      </c>
      <c r="B240" s="6" t="s">
        <v>700</v>
      </c>
      <c r="C240" s="27">
        <v>46287.0</v>
      </c>
      <c r="D240" s="27">
        <v>46287.0</v>
      </c>
      <c r="E240" s="6" t="s">
        <v>1358</v>
      </c>
      <c r="F240" s="6" t="s">
        <v>1367</v>
      </c>
    </row>
    <row r="241" ht="21.0" customHeight="1">
      <c r="A241" s="6" t="s">
        <v>2027</v>
      </c>
      <c r="B241" s="6" t="s">
        <v>702</v>
      </c>
      <c r="C241" s="27">
        <v>46285.0</v>
      </c>
      <c r="D241" s="27">
        <v>46285.0</v>
      </c>
      <c r="E241" s="6" t="s">
        <v>1358</v>
      </c>
      <c r="F241" s="6" t="s">
        <v>1362</v>
      </c>
    </row>
    <row r="242" ht="21.0" customHeight="1">
      <c r="A242" s="6" t="s">
        <v>2031</v>
      </c>
      <c r="B242" s="6" t="s">
        <v>705</v>
      </c>
      <c r="C242" s="27">
        <v>46286.0</v>
      </c>
      <c r="D242" s="27">
        <v>46286.0</v>
      </c>
      <c r="E242" s="6" t="s">
        <v>1358</v>
      </c>
      <c r="F242" s="6" t="s">
        <v>1362</v>
      </c>
    </row>
    <row r="243" ht="21.0" customHeight="1">
      <c r="A243" s="6" t="s">
        <v>2035</v>
      </c>
      <c r="B243" s="6" t="s">
        <v>707</v>
      </c>
      <c r="C243" s="27">
        <v>46284.0</v>
      </c>
      <c r="D243" s="27">
        <v>46286.0</v>
      </c>
      <c r="E243" s="6" t="s">
        <v>1358</v>
      </c>
      <c r="F243" s="6" t="s">
        <v>1362</v>
      </c>
    </row>
    <row r="244" ht="21.0" customHeight="1">
      <c r="A244" s="6" t="s">
        <v>2038</v>
      </c>
      <c r="B244" s="6" t="s">
        <v>710</v>
      </c>
      <c r="C244" s="27">
        <v>46288.0</v>
      </c>
      <c r="D244" s="27">
        <v>46288.0</v>
      </c>
      <c r="E244" s="6" t="s">
        <v>1358</v>
      </c>
      <c r="F244" s="6" t="s">
        <v>1359</v>
      </c>
    </row>
    <row r="245" ht="21.0" customHeight="1">
      <c r="A245" s="6" t="s">
        <v>2041</v>
      </c>
      <c r="B245" s="6" t="s">
        <v>712</v>
      </c>
      <c r="C245" s="27">
        <v>46286.0</v>
      </c>
      <c r="D245" s="27">
        <v>46284.0</v>
      </c>
      <c r="E245" s="6" t="s">
        <v>1358</v>
      </c>
      <c r="F245" s="6" t="s">
        <v>1362</v>
      </c>
    </row>
    <row r="246" ht="21.0" customHeight="1">
      <c r="A246" s="6" t="s">
        <v>2045</v>
      </c>
      <c r="B246" s="6" t="s">
        <v>715</v>
      </c>
      <c r="C246" s="27">
        <v>46284.0</v>
      </c>
      <c r="D246" s="27">
        <v>46284.0</v>
      </c>
      <c r="E246" s="6" t="s">
        <v>1358</v>
      </c>
      <c r="F246" s="6" t="s">
        <v>1367</v>
      </c>
    </row>
    <row r="247" ht="21.0" customHeight="1">
      <c r="A247" s="6" t="s">
        <v>2048</v>
      </c>
      <c r="B247" s="6" t="s">
        <v>717</v>
      </c>
      <c r="C247" s="27">
        <v>46286.0</v>
      </c>
      <c r="D247" s="27">
        <v>46286.0</v>
      </c>
      <c r="E247" s="6" t="s">
        <v>1358</v>
      </c>
      <c r="F247" s="6" t="s">
        <v>1359</v>
      </c>
    </row>
    <row r="248" ht="21.0" customHeight="1">
      <c r="A248" s="6" t="s">
        <v>2050</v>
      </c>
      <c r="B248" s="6" t="s">
        <v>720</v>
      </c>
      <c r="C248" s="27">
        <v>46289.0</v>
      </c>
      <c r="D248" s="27">
        <v>46289.0</v>
      </c>
      <c r="E248" s="6" t="s">
        <v>1358</v>
      </c>
      <c r="F248" s="6" t="s">
        <v>1359</v>
      </c>
    </row>
    <row r="249" ht="21.0" customHeight="1">
      <c r="A249" s="6" t="s">
        <v>2054</v>
      </c>
      <c r="B249" s="6" t="s">
        <v>722</v>
      </c>
      <c r="C249" s="27">
        <v>46288.0</v>
      </c>
      <c r="D249" s="27">
        <v>46288.0</v>
      </c>
      <c r="E249" s="6" t="s">
        <v>1358</v>
      </c>
      <c r="F249" s="6" t="s">
        <v>1362</v>
      </c>
    </row>
    <row r="250" ht="21.0" customHeight="1">
      <c r="A250" s="6" t="s">
        <v>1722</v>
      </c>
      <c r="B250" s="6" t="s">
        <v>725</v>
      </c>
      <c r="C250" s="27">
        <v>46314.0</v>
      </c>
      <c r="D250" s="27"/>
      <c r="E250" s="6" t="s">
        <v>1389</v>
      </c>
      <c r="F250" s="6" t="s">
        <v>1362</v>
      </c>
    </row>
    <row r="251" ht="21.0" customHeight="1">
      <c r="A251" s="6" t="s">
        <v>2059</v>
      </c>
      <c r="B251" s="6" t="s">
        <v>727</v>
      </c>
      <c r="C251" s="27">
        <v>46285.0</v>
      </c>
      <c r="D251" s="27">
        <v>46285.0</v>
      </c>
      <c r="E251" s="6" t="s">
        <v>1358</v>
      </c>
      <c r="F251" s="6" t="s">
        <v>1367</v>
      </c>
    </row>
    <row r="252" ht="21.0" customHeight="1">
      <c r="A252" s="6" t="s">
        <v>2061</v>
      </c>
      <c r="B252" s="6" t="s">
        <v>730</v>
      </c>
      <c r="C252" s="27">
        <v>46287.0</v>
      </c>
      <c r="D252" s="27">
        <v>46287.0</v>
      </c>
      <c r="E252" s="6" t="s">
        <v>1358</v>
      </c>
      <c r="F252" s="6" t="s">
        <v>1367</v>
      </c>
    </row>
    <row r="253" ht="21.0" customHeight="1">
      <c r="A253" s="6" t="s">
        <v>2065</v>
      </c>
      <c r="B253" s="6" t="s">
        <v>732</v>
      </c>
      <c r="C253" s="27">
        <v>46288.0</v>
      </c>
      <c r="D253" s="27">
        <v>46289.0</v>
      </c>
      <c r="E253" s="6" t="s">
        <v>1358</v>
      </c>
      <c r="F253" s="6" t="s">
        <v>1362</v>
      </c>
    </row>
    <row r="254" ht="21.0" customHeight="1">
      <c r="A254" s="6" t="s">
        <v>2068</v>
      </c>
      <c r="B254" s="6" t="s">
        <v>734</v>
      </c>
      <c r="C254" s="27">
        <v>46287.0</v>
      </c>
      <c r="D254" s="27">
        <v>46285.0</v>
      </c>
      <c r="E254" s="6" t="s">
        <v>1358</v>
      </c>
      <c r="F254" s="6" t="s">
        <v>1359</v>
      </c>
    </row>
    <row r="255" ht="21.0" customHeight="1">
      <c r="A255" s="6" t="s">
        <v>2071</v>
      </c>
      <c r="B255" s="6" t="s">
        <v>736</v>
      </c>
      <c r="C255" s="27">
        <v>46290.0</v>
      </c>
      <c r="D255" s="27">
        <v>46288.0</v>
      </c>
      <c r="E255" s="6" t="s">
        <v>1358</v>
      </c>
      <c r="F255" s="6" t="s">
        <v>1367</v>
      </c>
    </row>
    <row r="256" ht="21.0" customHeight="1">
      <c r="A256" s="6" t="s">
        <v>2075</v>
      </c>
      <c r="B256" s="6" t="s">
        <v>738</v>
      </c>
      <c r="C256" s="27">
        <v>46286.0</v>
      </c>
      <c r="D256" s="27">
        <v>46284.0</v>
      </c>
      <c r="E256" s="6" t="s">
        <v>1358</v>
      </c>
      <c r="F256" s="6" t="s">
        <v>1359</v>
      </c>
    </row>
    <row r="257" ht="21.0" customHeight="1">
      <c r="A257" s="6" t="s">
        <v>2077</v>
      </c>
      <c r="B257" s="6" t="s">
        <v>741</v>
      </c>
      <c r="C257" s="27">
        <v>46289.0</v>
      </c>
      <c r="D257" s="27">
        <v>46289.0</v>
      </c>
      <c r="E257" s="6" t="s">
        <v>1358</v>
      </c>
      <c r="F257" s="6" t="s">
        <v>1367</v>
      </c>
    </row>
    <row r="258" ht="21.0" customHeight="1">
      <c r="A258" s="6" t="s">
        <v>1727</v>
      </c>
      <c r="B258" s="6" t="s">
        <v>743</v>
      </c>
      <c r="C258" s="27">
        <v>46288.0</v>
      </c>
      <c r="D258" s="27"/>
      <c r="E258" s="6" t="s">
        <v>97</v>
      </c>
      <c r="F258" s="6" t="s">
        <v>1359</v>
      </c>
    </row>
    <row r="259" ht="21.0" customHeight="1">
      <c r="A259" s="6" t="s">
        <v>2082</v>
      </c>
      <c r="B259" s="6" t="s">
        <v>745</v>
      </c>
      <c r="C259" s="27">
        <v>46287.0</v>
      </c>
      <c r="D259" s="27">
        <v>46289.0</v>
      </c>
      <c r="E259" s="6" t="s">
        <v>1358</v>
      </c>
      <c r="F259" s="6" t="s">
        <v>1359</v>
      </c>
    </row>
    <row r="260" ht="21.0" customHeight="1">
      <c r="A260" s="6" t="s">
        <v>2085</v>
      </c>
      <c r="B260" s="6" t="s">
        <v>748</v>
      </c>
      <c r="C260" s="27">
        <v>46288.0</v>
      </c>
      <c r="D260" s="27">
        <v>46288.0</v>
      </c>
      <c r="E260" s="6" t="s">
        <v>1358</v>
      </c>
      <c r="F260" s="6" t="s">
        <v>1362</v>
      </c>
    </row>
    <row r="261" ht="21.0" customHeight="1">
      <c r="A261" s="6" t="s">
        <v>2089</v>
      </c>
      <c r="B261" s="6" t="s">
        <v>750</v>
      </c>
      <c r="C261" s="27">
        <v>46287.0</v>
      </c>
      <c r="D261" s="27">
        <v>46289.0</v>
      </c>
      <c r="E261" s="6" t="s">
        <v>1358</v>
      </c>
      <c r="F261" s="6" t="s">
        <v>1362</v>
      </c>
    </row>
    <row r="262" ht="21.0" customHeight="1">
      <c r="A262" s="6" t="s">
        <v>1732</v>
      </c>
      <c r="B262" s="6" t="s">
        <v>753</v>
      </c>
      <c r="C262" s="27">
        <v>46310.0</v>
      </c>
      <c r="D262" s="27"/>
      <c r="E262" s="6" t="s">
        <v>1389</v>
      </c>
      <c r="F262" s="6" t="s">
        <v>1359</v>
      </c>
    </row>
    <row r="263" ht="21.0" customHeight="1">
      <c r="A263" s="6" t="s">
        <v>2093</v>
      </c>
      <c r="B263" s="6" t="s">
        <v>756</v>
      </c>
      <c r="C263" s="27">
        <v>46291.0</v>
      </c>
      <c r="D263" s="27">
        <v>46292.0</v>
      </c>
      <c r="E263" s="6" t="s">
        <v>1358</v>
      </c>
      <c r="F263" s="6" t="s">
        <v>1367</v>
      </c>
    </row>
    <row r="264" ht="21.0" customHeight="1">
      <c r="A264" s="6" t="s">
        <v>2096</v>
      </c>
      <c r="B264" s="6" t="s">
        <v>759</v>
      </c>
      <c r="C264" s="27">
        <v>46289.0</v>
      </c>
      <c r="D264" s="27">
        <v>46291.0</v>
      </c>
      <c r="E264" s="6" t="s">
        <v>1358</v>
      </c>
      <c r="F264" s="6" t="s">
        <v>1367</v>
      </c>
    </row>
    <row r="265" ht="21.0" customHeight="1">
      <c r="A265" s="6" t="s">
        <v>2099</v>
      </c>
      <c r="B265" s="6" t="s">
        <v>761</v>
      </c>
      <c r="C265" s="27">
        <v>46287.0</v>
      </c>
      <c r="D265" s="27">
        <v>46287.0</v>
      </c>
      <c r="E265" s="6" t="s">
        <v>1358</v>
      </c>
      <c r="F265" s="6" t="s">
        <v>1367</v>
      </c>
    </row>
    <row r="266" ht="21.0" customHeight="1">
      <c r="A266" s="6" t="s">
        <v>2102</v>
      </c>
      <c r="B266" s="6" t="s">
        <v>763</v>
      </c>
      <c r="C266" s="27">
        <v>46288.0</v>
      </c>
      <c r="D266" s="27">
        <v>46288.0</v>
      </c>
      <c r="E266" s="6" t="s">
        <v>1358</v>
      </c>
      <c r="F266" s="6" t="s">
        <v>1367</v>
      </c>
    </row>
    <row r="267" ht="21.0" customHeight="1">
      <c r="A267" s="6" t="s">
        <v>2105</v>
      </c>
      <c r="B267" s="6" t="s">
        <v>765</v>
      </c>
      <c r="C267" s="27">
        <v>46288.0</v>
      </c>
      <c r="D267" s="27">
        <v>46288.0</v>
      </c>
      <c r="E267" s="6" t="s">
        <v>1358</v>
      </c>
      <c r="F267" s="6" t="s">
        <v>1362</v>
      </c>
    </row>
    <row r="268" ht="21.0" customHeight="1">
      <c r="A268" s="6" t="s">
        <v>2108</v>
      </c>
      <c r="B268" s="6" t="s">
        <v>767</v>
      </c>
      <c r="C268" s="27">
        <v>46288.0</v>
      </c>
      <c r="D268" s="27">
        <v>46288.0</v>
      </c>
      <c r="E268" s="6" t="s">
        <v>1358</v>
      </c>
      <c r="F268" s="6" t="s">
        <v>1362</v>
      </c>
    </row>
    <row r="269" ht="21.0" customHeight="1">
      <c r="A269" s="6" t="s">
        <v>2111</v>
      </c>
      <c r="B269" s="6" t="s">
        <v>769</v>
      </c>
      <c r="C269" s="27">
        <v>46289.0</v>
      </c>
      <c r="D269" s="27">
        <v>46290.0</v>
      </c>
      <c r="E269" s="6" t="s">
        <v>1358</v>
      </c>
      <c r="F269" s="6" t="s">
        <v>1362</v>
      </c>
    </row>
    <row r="270" ht="21.0" customHeight="1">
      <c r="A270" s="6" t="s">
        <v>2114</v>
      </c>
      <c r="B270" s="6" t="s">
        <v>772</v>
      </c>
      <c r="C270" s="27">
        <v>46292.0</v>
      </c>
      <c r="D270" s="27">
        <v>46292.0</v>
      </c>
      <c r="E270" s="6" t="s">
        <v>1358</v>
      </c>
      <c r="F270" s="6" t="s">
        <v>1362</v>
      </c>
    </row>
    <row r="271" ht="21.0" customHeight="1">
      <c r="A271" s="6" t="s">
        <v>2117</v>
      </c>
      <c r="B271" s="6" t="s">
        <v>774</v>
      </c>
      <c r="C271" s="27">
        <v>46291.0</v>
      </c>
      <c r="D271" s="27">
        <v>46291.0</v>
      </c>
      <c r="E271" s="6" t="s">
        <v>1358</v>
      </c>
      <c r="F271" s="6" t="s">
        <v>1359</v>
      </c>
    </row>
    <row r="272" ht="21.0" customHeight="1">
      <c r="A272" s="6" t="s">
        <v>2120</v>
      </c>
      <c r="B272" s="6" t="s">
        <v>777</v>
      </c>
      <c r="C272" s="27">
        <v>46291.0</v>
      </c>
      <c r="D272" s="27">
        <v>46291.0</v>
      </c>
      <c r="E272" s="6" t="s">
        <v>1358</v>
      </c>
      <c r="F272" s="6" t="s">
        <v>1367</v>
      </c>
    </row>
    <row r="273" ht="21.0" customHeight="1">
      <c r="A273" s="6" t="s">
        <v>2123</v>
      </c>
      <c r="B273" s="6" t="s">
        <v>779</v>
      </c>
      <c r="C273" s="27">
        <v>46291.0</v>
      </c>
      <c r="D273" s="27">
        <v>46290.0</v>
      </c>
      <c r="E273" s="6" t="s">
        <v>1358</v>
      </c>
      <c r="F273" s="6" t="s">
        <v>1367</v>
      </c>
    </row>
    <row r="274" ht="21.0" customHeight="1">
      <c r="A274" s="6" t="s">
        <v>2126</v>
      </c>
      <c r="B274" s="6" t="s">
        <v>782</v>
      </c>
      <c r="C274" s="27">
        <v>46288.0</v>
      </c>
      <c r="D274" s="27">
        <v>46286.0</v>
      </c>
      <c r="E274" s="6" t="s">
        <v>1358</v>
      </c>
      <c r="F274" s="6" t="s">
        <v>1362</v>
      </c>
    </row>
    <row r="275" ht="21.0" customHeight="1">
      <c r="A275" s="6" t="s">
        <v>2129</v>
      </c>
      <c r="B275" s="6" t="s">
        <v>784</v>
      </c>
      <c r="C275" s="27">
        <v>46290.0</v>
      </c>
      <c r="D275" s="27">
        <v>46292.0</v>
      </c>
      <c r="E275" s="6" t="s">
        <v>1358</v>
      </c>
      <c r="F275" s="6" t="s">
        <v>1367</v>
      </c>
    </row>
    <row r="276" ht="21.0" customHeight="1">
      <c r="A276" s="6" t="s">
        <v>2133</v>
      </c>
      <c r="B276" s="6" t="s">
        <v>787</v>
      </c>
      <c r="C276" s="27">
        <v>46289.0</v>
      </c>
      <c r="D276" s="27">
        <v>46289.0</v>
      </c>
      <c r="E276" s="6" t="s">
        <v>1358</v>
      </c>
      <c r="F276" s="6" t="s">
        <v>1359</v>
      </c>
    </row>
    <row r="277" ht="21.0" customHeight="1">
      <c r="A277" s="6" t="s">
        <v>2135</v>
      </c>
      <c r="B277" s="6" t="s">
        <v>789</v>
      </c>
      <c r="C277" s="27">
        <v>46289.0</v>
      </c>
      <c r="D277" s="27">
        <v>46291.0</v>
      </c>
      <c r="E277" s="6" t="s">
        <v>1358</v>
      </c>
      <c r="F277" s="6" t="s">
        <v>1367</v>
      </c>
    </row>
    <row r="278" ht="21.0" customHeight="1">
      <c r="A278" s="6" t="s">
        <v>2139</v>
      </c>
      <c r="B278" s="6" t="s">
        <v>792</v>
      </c>
      <c r="C278" s="27">
        <v>46293.0</v>
      </c>
      <c r="D278" s="27">
        <v>46291.0</v>
      </c>
      <c r="E278" s="6" t="s">
        <v>1358</v>
      </c>
      <c r="F278" s="6" t="s">
        <v>1359</v>
      </c>
    </row>
    <row r="279" ht="21.0" customHeight="1">
      <c r="A279" s="6" t="s">
        <v>2142</v>
      </c>
      <c r="B279" s="6" t="s">
        <v>794</v>
      </c>
      <c r="C279" s="27">
        <v>46291.0</v>
      </c>
      <c r="D279" s="27">
        <v>46289.0</v>
      </c>
      <c r="E279" s="6" t="s">
        <v>1358</v>
      </c>
      <c r="F279" s="6" t="s">
        <v>1362</v>
      </c>
    </row>
    <row r="280" ht="21.0" customHeight="1">
      <c r="A280" s="6" t="s">
        <v>2145</v>
      </c>
      <c r="B280" s="6" t="s">
        <v>797</v>
      </c>
      <c r="C280" s="27">
        <v>46289.0</v>
      </c>
      <c r="D280" s="27">
        <v>46289.0</v>
      </c>
      <c r="E280" s="6" t="s">
        <v>1358</v>
      </c>
      <c r="F280" s="6" t="s">
        <v>1359</v>
      </c>
    </row>
    <row r="281" ht="21.0" customHeight="1">
      <c r="A281" s="6" t="s">
        <v>2148</v>
      </c>
      <c r="B281" s="6" t="s">
        <v>799</v>
      </c>
      <c r="C281" s="27">
        <v>46293.0</v>
      </c>
      <c r="D281" s="27">
        <v>46293.0</v>
      </c>
      <c r="E281" s="6" t="s">
        <v>1358</v>
      </c>
      <c r="F281" s="6" t="s">
        <v>1367</v>
      </c>
    </row>
    <row r="282" ht="21.0" customHeight="1">
      <c r="A282" s="6" t="s">
        <v>2151</v>
      </c>
      <c r="B282" s="6" t="s">
        <v>802</v>
      </c>
      <c r="C282" s="27">
        <v>46291.0</v>
      </c>
      <c r="D282" s="27">
        <v>46293.0</v>
      </c>
      <c r="E282" s="6" t="s">
        <v>1358</v>
      </c>
      <c r="F282" s="6" t="s">
        <v>1359</v>
      </c>
    </row>
    <row r="283" ht="21.0" customHeight="1">
      <c r="A283" s="6" t="s">
        <v>2154</v>
      </c>
      <c r="B283" s="6" t="s">
        <v>804</v>
      </c>
      <c r="C283" s="27">
        <v>46293.0</v>
      </c>
      <c r="D283" s="27">
        <v>46293.0</v>
      </c>
      <c r="E283" s="6" t="s">
        <v>1358</v>
      </c>
      <c r="F283" s="6" t="s">
        <v>1362</v>
      </c>
    </row>
    <row r="284" ht="21.0" customHeight="1">
      <c r="A284" s="6" t="s">
        <v>2158</v>
      </c>
      <c r="B284" s="6" t="s">
        <v>807</v>
      </c>
      <c r="C284" s="27">
        <v>46289.0</v>
      </c>
      <c r="D284" s="27">
        <v>46289.0</v>
      </c>
      <c r="E284" s="6" t="s">
        <v>1358</v>
      </c>
      <c r="F284" s="6" t="s">
        <v>1362</v>
      </c>
    </row>
    <row r="285" ht="21.0" customHeight="1">
      <c r="A285" s="6" t="s">
        <v>1738</v>
      </c>
      <c r="B285" s="6" t="s">
        <v>809</v>
      </c>
      <c r="C285" s="27">
        <v>46309.0</v>
      </c>
      <c r="D285" s="27"/>
      <c r="E285" s="6" t="s">
        <v>1389</v>
      </c>
      <c r="F285" s="6" t="s">
        <v>1362</v>
      </c>
    </row>
    <row r="286" ht="21.0" customHeight="1">
      <c r="A286" s="6" t="s">
        <v>2163</v>
      </c>
      <c r="B286" s="6" t="s">
        <v>812</v>
      </c>
      <c r="C286" s="27">
        <v>46292.0</v>
      </c>
      <c r="D286" s="27">
        <v>46292.0</v>
      </c>
      <c r="E286" s="6" t="s">
        <v>1358</v>
      </c>
      <c r="F286" s="6" t="s">
        <v>1359</v>
      </c>
    </row>
    <row r="287" ht="21.0" customHeight="1">
      <c r="A287" s="6" t="s">
        <v>2165</v>
      </c>
      <c r="B287" s="6" t="s">
        <v>814</v>
      </c>
      <c r="C287" s="27">
        <v>46292.0</v>
      </c>
      <c r="D287" s="27">
        <v>46292.0</v>
      </c>
      <c r="E287" s="6" t="s">
        <v>1358</v>
      </c>
      <c r="F287" s="6" t="s">
        <v>1362</v>
      </c>
    </row>
    <row r="288" ht="21.0" customHeight="1">
      <c r="A288" s="6" t="s">
        <v>2169</v>
      </c>
      <c r="B288" s="6" t="s">
        <v>818</v>
      </c>
      <c r="C288" s="27">
        <v>46291.0</v>
      </c>
      <c r="D288" s="27">
        <v>46291.0</v>
      </c>
      <c r="E288" s="6" t="s">
        <v>1358</v>
      </c>
      <c r="F288" s="6" t="s">
        <v>1367</v>
      </c>
    </row>
    <row r="289" ht="21.0" customHeight="1">
      <c r="A289" s="6" t="s">
        <v>2171</v>
      </c>
      <c r="B289" s="6" t="s">
        <v>820</v>
      </c>
      <c r="C289" s="27">
        <v>46292.0</v>
      </c>
      <c r="D289" s="27">
        <v>46291.0</v>
      </c>
      <c r="E289" s="6" t="s">
        <v>1358</v>
      </c>
      <c r="F289" s="6" t="s">
        <v>1359</v>
      </c>
    </row>
    <row r="290" ht="21.0" customHeight="1">
      <c r="A290" s="6" t="s">
        <v>2175</v>
      </c>
      <c r="B290" s="6" t="s">
        <v>823</v>
      </c>
      <c r="C290" s="27">
        <v>46290.0</v>
      </c>
      <c r="D290" s="27">
        <v>46290.0</v>
      </c>
      <c r="E290" s="6" t="s">
        <v>1358</v>
      </c>
      <c r="F290" s="6" t="s">
        <v>1362</v>
      </c>
    </row>
    <row r="291" ht="21.0" customHeight="1">
      <c r="A291" s="6" t="s">
        <v>2177</v>
      </c>
      <c r="B291" s="6" t="s">
        <v>825</v>
      </c>
      <c r="C291" s="27">
        <v>46290.0</v>
      </c>
      <c r="D291" s="27">
        <v>46289.0</v>
      </c>
      <c r="E291" s="6" t="s">
        <v>1358</v>
      </c>
      <c r="F291" s="6" t="s">
        <v>1359</v>
      </c>
    </row>
    <row r="292" ht="21.0" customHeight="1">
      <c r="A292" s="6" t="s">
        <v>2178</v>
      </c>
      <c r="B292" s="6" t="s">
        <v>828</v>
      </c>
      <c r="C292" s="27">
        <v>46294.0</v>
      </c>
      <c r="D292" s="27">
        <v>46293.0</v>
      </c>
      <c r="E292" s="6" t="s">
        <v>1358</v>
      </c>
      <c r="F292" s="6" t="s">
        <v>1362</v>
      </c>
    </row>
    <row r="293" ht="21.0" customHeight="1">
      <c r="A293" s="6" t="s">
        <v>1743</v>
      </c>
      <c r="B293" s="6" t="s">
        <v>832</v>
      </c>
      <c r="C293" s="27">
        <v>46291.0</v>
      </c>
      <c r="D293" s="27"/>
      <c r="E293" s="6" t="s">
        <v>97</v>
      </c>
      <c r="F293" s="6" t="s">
        <v>1359</v>
      </c>
    </row>
    <row r="294" ht="21.0" customHeight="1">
      <c r="A294" s="6" t="s">
        <v>2180</v>
      </c>
      <c r="B294" s="6" t="s">
        <v>835</v>
      </c>
      <c r="C294" s="27">
        <v>46295.0</v>
      </c>
      <c r="D294" s="27">
        <v>46294.0</v>
      </c>
      <c r="E294" s="6" t="s">
        <v>1358</v>
      </c>
      <c r="F294" s="6" t="s">
        <v>1359</v>
      </c>
    </row>
    <row r="295" ht="21.0" customHeight="1">
      <c r="A295" s="6" t="s">
        <v>2181</v>
      </c>
      <c r="B295" s="6" t="s">
        <v>837</v>
      </c>
      <c r="C295" s="27">
        <v>46294.0</v>
      </c>
      <c r="D295" s="27">
        <v>46295.0</v>
      </c>
      <c r="E295" s="6" t="s">
        <v>1358</v>
      </c>
      <c r="F295" s="6" t="s">
        <v>1367</v>
      </c>
    </row>
    <row r="296" ht="21.0" customHeight="1">
      <c r="A296" s="6" t="s">
        <v>2182</v>
      </c>
      <c r="B296" s="6" t="s">
        <v>840</v>
      </c>
      <c r="C296" s="27">
        <v>46292.0</v>
      </c>
      <c r="D296" s="27">
        <v>46291.0</v>
      </c>
      <c r="E296" s="6" t="s">
        <v>1358</v>
      </c>
      <c r="F296" s="6" t="s">
        <v>1367</v>
      </c>
    </row>
    <row r="297" ht="21.0" customHeight="1">
      <c r="A297" s="6" t="s">
        <v>2184</v>
      </c>
      <c r="B297" s="6" t="s">
        <v>842</v>
      </c>
      <c r="C297" s="27">
        <v>46295.0</v>
      </c>
      <c r="D297" s="27">
        <v>46293.0</v>
      </c>
      <c r="E297" s="6" t="s">
        <v>1358</v>
      </c>
      <c r="F297" s="6" t="s">
        <v>1362</v>
      </c>
    </row>
    <row r="298" ht="21.0" customHeight="1">
      <c r="A298" s="6" t="s">
        <v>1750</v>
      </c>
      <c r="B298" s="6" t="s">
        <v>845</v>
      </c>
      <c r="C298" s="27">
        <v>46304.0</v>
      </c>
      <c r="D298" s="27"/>
      <c r="E298" s="6" t="s">
        <v>1389</v>
      </c>
      <c r="F298" s="6" t="s">
        <v>1359</v>
      </c>
    </row>
    <row r="299" ht="21.0" customHeight="1">
      <c r="A299" s="6" t="s">
        <v>2186</v>
      </c>
      <c r="B299" s="6" t="s">
        <v>847</v>
      </c>
      <c r="C299" s="27">
        <v>46293.0</v>
      </c>
      <c r="D299" s="27">
        <v>46293.0</v>
      </c>
      <c r="E299" s="6" t="s">
        <v>1358</v>
      </c>
      <c r="F299" s="6" t="s">
        <v>1362</v>
      </c>
    </row>
    <row r="300" ht="21.0" customHeight="1">
      <c r="A300" s="6" t="s">
        <v>2187</v>
      </c>
      <c r="B300" s="6" t="s">
        <v>850</v>
      </c>
      <c r="C300" s="27">
        <v>46294.0</v>
      </c>
      <c r="D300" s="27">
        <v>46294.0</v>
      </c>
      <c r="E300" s="6" t="s">
        <v>1358</v>
      </c>
      <c r="F300" s="6" t="s">
        <v>1367</v>
      </c>
    </row>
    <row r="301" ht="21.0" customHeight="1">
      <c r="A301" s="6" t="s">
        <v>2188</v>
      </c>
      <c r="B301" s="6" t="s">
        <v>852</v>
      </c>
      <c r="C301" s="27">
        <v>46292.0</v>
      </c>
      <c r="D301" s="27">
        <v>46291.0</v>
      </c>
      <c r="E301" s="6" t="s">
        <v>1358</v>
      </c>
      <c r="F301" s="6" t="s">
        <v>1367</v>
      </c>
    </row>
    <row r="302" ht="21.0" customHeight="1">
      <c r="A302" s="6" t="s">
        <v>2189</v>
      </c>
      <c r="B302" s="6" t="s">
        <v>855</v>
      </c>
      <c r="C302" s="27">
        <v>46296.0</v>
      </c>
      <c r="D302" s="27">
        <v>46296.0</v>
      </c>
      <c r="E302" s="6" t="s">
        <v>1358</v>
      </c>
      <c r="F302" s="6" t="s">
        <v>1359</v>
      </c>
    </row>
    <row r="303" ht="21.0" customHeight="1">
      <c r="A303" s="6" t="s">
        <v>2190</v>
      </c>
      <c r="B303" s="6" t="s">
        <v>857</v>
      </c>
      <c r="C303" s="27">
        <v>46294.0</v>
      </c>
      <c r="D303" s="27">
        <v>46294.0</v>
      </c>
      <c r="E303" s="6" t="s">
        <v>1358</v>
      </c>
      <c r="F303" s="6" t="s">
        <v>1362</v>
      </c>
    </row>
    <row r="304" ht="21.0" customHeight="1">
      <c r="A304" s="6" t="s">
        <v>2192</v>
      </c>
      <c r="B304" s="6" t="s">
        <v>860</v>
      </c>
      <c r="C304" s="27">
        <v>46292.0</v>
      </c>
      <c r="D304" s="27">
        <v>46292.0</v>
      </c>
      <c r="E304" s="6" t="s">
        <v>1358</v>
      </c>
      <c r="F304" s="6" t="s">
        <v>1359</v>
      </c>
    </row>
    <row r="305" ht="21.0" customHeight="1">
      <c r="A305" s="6" t="s">
        <v>2194</v>
      </c>
      <c r="B305" s="6" t="s">
        <v>862</v>
      </c>
      <c r="C305" s="27">
        <v>46292.0</v>
      </c>
      <c r="D305" s="27">
        <v>46292.0</v>
      </c>
      <c r="E305" s="6" t="s">
        <v>1358</v>
      </c>
      <c r="F305" s="6" t="s">
        <v>1367</v>
      </c>
    </row>
    <row r="306" ht="21.0" customHeight="1">
      <c r="A306" s="6" t="s">
        <v>1754</v>
      </c>
      <c r="B306" s="6" t="s">
        <v>864</v>
      </c>
      <c r="C306" s="27">
        <v>46292.0</v>
      </c>
      <c r="D306" s="27"/>
      <c r="E306" s="6" t="s">
        <v>97</v>
      </c>
      <c r="F306" s="6" t="s">
        <v>1367</v>
      </c>
    </row>
    <row r="307" ht="21.0" customHeight="1">
      <c r="A307" s="6" t="s">
        <v>2196</v>
      </c>
      <c r="B307" s="6" t="s">
        <v>867</v>
      </c>
      <c r="C307" s="27">
        <v>46296.0</v>
      </c>
      <c r="D307" s="27">
        <v>46298.0</v>
      </c>
      <c r="E307" s="6" t="s">
        <v>1358</v>
      </c>
      <c r="F307" s="6" t="s">
        <v>1362</v>
      </c>
    </row>
    <row r="308" ht="21.0" customHeight="1">
      <c r="A308" s="6" t="s">
        <v>2197</v>
      </c>
      <c r="B308" s="6" t="s">
        <v>869</v>
      </c>
      <c r="C308" s="27">
        <v>46296.0</v>
      </c>
      <c r="D308" s="27">
        <v>46296.0</v>
      </c>
      <c r="E308" s="6" t="s">
        <v>1358</v>
      </c>
      <c r="F308" s="6" t="s">
        <v>1362</v>
      </c>
    </row>
    <row r="309" ht="21.0" customHeight="1">
      <c r="A309" s="6" t="s">
        <v>2199</v>
      </c>
      <c r="B309" s="6" t="s">
        <v>872</v>
      </c>
      <c r="C309" s="27">
        <v>46293.0</v>
      </c>
      <c r="D309" s="27">
        <v>46293.0</v>
      </c>
      <c r="E309" s="6" t="s">
        <v>1358</v>
      </c>
      <c r="F309" s="6" t="s">
        <v>1362</v>
      </c>
    </row>
    <row r="310" ht="21.0" customHeight="1">
      <c r="A310" s="6" t="s">
        <v>2200</v>
      </c>
      <c r="B310" s="6" t="s">
        <v>874</v>
      </c>
      <c r="C310" s="27">
        <v>46297.0</v>
      </c>
      <c r="D310" s="27">
        <v>46298.0</v>
      </c>
      <c r="E310" s="6" t="s">
        <v>1358</v>
      </c>
      <c r="F310" s="6" t="s">
        <v>1359</v>
      </c>
    </row>
    <row r="311" ht="21.0" customHeight="1">
      <c r="A311" s="6" t="s">
        <v>2202</v>
      </c>
      <c r="B311" s="6" t="s">
        <v>876</v>
      </c>
      <c r="C311" s="27">
        <v>46295.0</v>
      </c>
      <c r="D311" s="27">
        <v>46295.0</v>
      </c>
      <c r="E311" s="6" t="s">
        <v>1358</v>
      </c>
      <c r="F311" s="6" t="s">
        <v>1362</v>
      </c>
    </row>
    <row r="312" ht="21.0" customHeight="1">
      <c r="A312" s="6" t="s">
        <v>2203</v>
      </c>
      <c r="B312" s="6" t="s">
        <v>879</v>
      </c>
      <c r="C312" s="27">
        <v>46297.0</v>
      </c>
      <c r="D312" s="27">
        <v>46295.0</v>
      </c>
      <c r="E312" s="6" t="s">
        <v>1358</v>
      </c>
      <c r="F312" s="6" t="s">
        <v>1367</v>
      </c>
    </row>
    <row r="313" ht="21.0" customHeight="1">
      <c r="A313" s="6" t="s">
        <v>2205</v>
      </c>
      <c r="B313" s="6" t="s">
        <v>881</v>
      </c>
      <c r="C313" s="27">
        <v>46294.0</v>
      </c>
      <c r="D313" s="27">
        <v>46293.0</v>
      </c>
      <c r="E313" s="6" t="s">
        <v>1358</v>
      </c>
      <c r="F313" s="6" t="s">
        <v>1359</v>
      </c>
    </row>
    <row r="314" ht="21.0" customHeight="1">
      <c r="A314" s="6" t="s">
        <v>2206</v>
      </c>
      <c r="B314" s="6" t="s">
        <v>884</v>
      </c>
      <c r="C314" s="27">
        <v>46296.0</v>
      </c>
      <c r="D314" s="27">
        <v>46296.0</v>
      </c>
      <c r="E314" s="6" t="s">
        <v>1358</v>
      </c>
      <c r="F314" s="6" t="s">
        <v>1359</v>
      </c>
    </row>
    <row r="315" ht="21.0" customHeight="1">
      <c r="A315" s="6" t="s">
        <v>2208</v>
      </c>
      <c r="B315" s="6" t="s">
        <v>886</v>
      </c>
      <c r="C315" s="27">
        <v>46294.0</v>
      </c>
      <c r="D315" s="27">
        <v>46294.0</v>
      </c>
      <c r="E315" s="6" t="s">
        <v>1358</v>
      </c>
      <c r="F315" s="6" t="s">
        <v>1367</v>
      </c>
    </row>
    <row r="316" ht="21.0" customHeight="1">
      <c r="A316" s="6" t="s">
        <v>1760</v>
      </c>
      <c r="B316" s="6" t="s">
        <v>890</v>
      </c>
      <c r="C316" s="27">
        <v>46314.0</v>
      </c>
      <c r="D316" s="27"/>
      <c r="E316" s="6" t="s">
        <v>1389</v>
      </c>
      <c r="F316" s="6" t="s">
        <v>1359</v>
      </c>
    </row>
    <row r="317" ht="21.0" customHeight="1">
      <c r="A317" s="6" t="s">
        <v>2210</v>
      </c>
      <c r="B317" s="6" t="s">
        <v>892</v>
      </c>
      <c r="C317" s="27">
        <v>46295.0</v>
      </c>
      <c r="D317" s="27">
        <v>46296.0</v>
      </c>
      <c r="E317" s="6" t="s">
        <v>1358</v>
      </c>
      <c r="F317" s="6" t="s">
        <v>1362</v>
      </c>
    </row>
    <row r="318" ht="21.0" customHeight="1">
      <c r="A318" s="6" t="s">
        <v>2211</v>
      </c>
      <c r="B318" s="6" t="s">
        <v>894</v>
      </c>
      <c r="C318" s="27">
        <v>46295.0</v>
      </c>
      <c r="D318" s="27">
        <v>46296.0</v>
      </c>
      <c r="E318" s="6" t="s">
        <v>1358</v>
      </c>
      <c r="F318" s="6" t="s">
        <v>1359</v>
      </c>
    </row>
    <row r="319" ht="21.0" customHeight="1">
      <c r="A319" s="6" t="s">
        <v>2213</v>
      </c>
      <c r="B319" s="6" t="s">
        <v>897</v>
      </c>
      <c r="C319" s="27">
        <v>46295.0</v>
      </c>
      <c r="D319" s="27">
        <v>46293.0</v>
      </c>
      <c r="E319" s="6" t="s">
        <v>1358</v>
      </c>
      <c r="F319" s="6" t="s">
        <v>1367</v>
      </c>
    </row>
    <row r="320" ht="21.0" customHeight="1">
      <c r="A320" s="6" t="s">
        <v>2214</v>
      </c>
      <c r="B320" s="6" t="s">
        <v>899</v>
      </c>
      <c r="C320" s="27">
        <v>46298.0</v>
      </c>
      <c r="D320" s="27">
        <v>46296.0</v>
      </c>
      <c r="E320" s="6" t="s">
        <v>1358</v>
      </c>
      <c r="F320" s="6" t="s">
        <v>1367</v>
      </c>
    </row>
    <row r="321" ht="21.0" customHeight="1">
      <c r="A321" s="6" t="s">
        <v>2216</v>
      </c>
      <c r="B321" s="6" t="s">
        <v>902</v>
      </c>
      <c r="C321" s="27">
        <v>46298.0</v>
      </c>
      <c r="D321" s="27">
        <v>46297.0</v>
      </c>
      <c r="E321" s="6" t="s">
        <v>1358</v>
      </c>
      <c r="F321" s="6" t="s">
        <v>1359</v>
      </c>
    </row>
    <row r="322" ht="21.0" customHeight="1">
      <c r="A322" s="6" t="s">
        <v>2217</v>
      </c>
      <c r="B322" s="6" t="s">
        <v>904</v>
      </c>
      <c r="C322" s="27">
        <v>46298.0</v>
      </c>
      <c r="D322" s="27">
        <v>46298.0</v>
      </c>
      <c r="E322" s="6" t="s">
        <v>1358</v>
      </c>
      <c r="F322" s="6" t="s">
        <v>1367</v>
      </c>
    </row>
    <row r="323" ht="21.0" customHeight="1">
      <c r="A323" s="6" t="s">
        <v>2219</v>
      </c>
      <c r="B323" s="6" t="s">
        <v>906</v>
      </c>
      <c r="C323" s="27">
        <v>46295.0</v>
      </c>
      <c r="D323" s="27">
        <v>46297.0</v>
      </c>
      <c r="E323" s="6" t="s">
        <v>1358</v>
      </c>
      <c r="F323" s="6" t="s">
        <v>1367</v>
      </c>
    </row>
    <row r="324" ht="21.0" customHeight="1">
      <c r="A324" s="6" t="s">
        <v>2220</v>
      </c>
      <c r="B324" s="6" t="s">
        <v>909</v>
      </c>
      <c r="C324" s="27">
        <v>46299.0</v>
      </c>
      <c r="D324" s="27">
        <v>46299.0</v>
      </c>
      <c r="E324" s="6" t="s">
        <v>1358</v>
      </c>
      <c r="F324" s="6" t="s">
        <v>1362</v>
      </c>
    </row>
    <row r="325" ht="21.0" customHeight="1">
      <c r="A325" s="6" t="s">
        <v>2222</v>
      </c>
      <c r="B325" s="6" t="s">
        <v>911</v>
      </c>
      <c r="C325" s="27">
        <v>46296.0</v>
      </c>
      <c r="D325" s="27">
        <v>46297.0</v>
      </c>
      <c r="E325" s="6" t="s">
        <v>1358</v>
      </c>
      <c r="F325" s="6" t="s">
        <v>1362</v>
      </c>
    </row>
    <row r="326" ht="21.0" customHeight="1">
      <c r="A326" s="6" t="s">
        <v>2223</v>
      </c>
      <c r="B326" s="6" t="s">
        <v>914</v>
      </c>
      <c r="C326" s="27">
        <v>46296.0</v>
      </c>
      <c r="D326" s="27">
        <v>46295.0</v>
      </c>
      <c r="E326" s="6" t="s">
        <v>1358</v>
      </c>
      <c r="F326" s="6" t="s">
        <v>1359</v>
      </c>
    </row>
    <row r="327" ht="21.0" customHeight="1">
      <c r="A327" s="6" t="s">
        <v>2225</v>
      </c>
      <c r="B327" s="6" t="s">
        <v>916</v>
      </c>
      <c r="C327" s="27">
        <v>46298.0</v>
      </c>
      <c r="D327" s="27">
        <v>46296.0</v>
      </c>
      <c r="E327" s="6" t="s">
        <v>1358</v>
      </c>
      <c r="F327" s="6" t="s">
        <v>1362</v>
      </c>
    </row>
    <row r="328" ht="21.0" customHeight="1">
      <c r="A328" s="6" t="s">
        <v>1766</v>
      </c>
      <c r="B328" s="6" t="s">
        <v>918</v>
      </c>
      <c r="C328" s="27">
        <v>46305.0</v>
      </c>
      <c r="D328" s="27"/>
      <c r="E328" s="6" t="s">
        <v>1389</v>
      </c>
      <c r="F328" s="6" t="s">
        <v>1367</v>
      </c>
    </row>
    <row r="329" ht="21.0" customHeight="1">
      <c r="A329" s="6" t="s">
        <v>2227</v>
      </c>
      <c r="B329" s="6" t="s">
        <v>921</v>
      </c>
      <c r="C329" s="27">
        <v>46296.0</v>
      </c>
      <c r="D329" s="27">
        <v>46297.0</v>
      </c>
      <c r="E329" s="6" t="s">
        <v>1358</v>
      </c>
      <c r="F329" s="6" t="s">
        <v>1359</v>
      </c>
    </row>
    <row r="330" ht="21.0" customHeight="1">
      <c r="A330" s="6" t="s">
        <v>2228</v>
      </c>
      <c r="B330" s="6" t="s">
        <v>923</v>
      </c>
      <c r="C330" s="27">
        <v>46298.0</v>
      </c>
      <c r="D330" s="27">
        <v>46298.0</v>
      </c>
      <c r="E330" s="6" t="s">
        <v>1358</v>
      </c>
      <c r="F330" s="6" t="s">
        <v>1367</v>
      </c>
    </row>
    <row r="331" ht="21.0" customHeight="1">
      <c r="A331" s="6" t="s">
        <v>2230</v>
      </c>
      <c r="B331" s="6" t="s">
        <v>925</v>
      </c>
      <c r="C331" s="27">
        <v>46300.0</v>
      </c>
      <c r="D331" s="27">
        <v>46298.0</v>
      </c>
      <c r="E331" s="6" t="s">
        <v>1358</v>
      </c>
      <c r="F331" s="6" t="s">
        <v>1362</v>
      </c>
    </row>
    <row r="332" ht="21.0" customHeight="1">
      <c r="A332" s="6" t="s">
        <v>2231</v>
      </c>
      <c r="B332" s="6" t="s">
        <v>927</v>
      </c>
      <c r="C332" s="27">
        <v>46299.0</v>
      </c>
      <c r="D332" s="27">
        <v>46300.0</v>
      </c>
      <c r="E332" s="6" t="s">
        <v>1358</v>
      </c>
      <c r="F332" s="6" t="s">
        <v>1359</v>
      </c>
    </row>
    <row r="333" ht="21.0" customHeight="1">
      <c r="A333" s="6" t="s">
        <v>2233</v>
      </c>
      <c r="B333" s="6" t="s">
        <v>930</v>
      </c>
      <c r="C333" s="27">
        <v>46300.0</v>
      </c>
      <c r="D333" s="27">
        <v>46300.0</v>
      </c>
      <c r="E333" s="6" t="s">
        <v>1358</v>
      </c>
      <c r="F333" s="6" t="s">
        <v>1359</v>
      </c>
    </row>
    <row r="334" ht="21.0" customHeight="1">
      <c r="A334" s="6" t="s">
        <v>2234</v>
      </c>
      <c r="B334" s="6" t="s">
        <v>932</v>
      </c>
      <c r="C334" s="27">
        <v>46300.0</v>
      </c>
      <c r="D334" s="27">
        <v>46300.0</v>
      </c>
      <c r="E334" s="6" t="s">
        <v>1358</v>
      </c>
      <c r="F334" s="6" t="s">
        <v>1359</v>
      </c>
    </row>
    <row r="335" ht="21.0" customHeight="1">
      <c r="A335" s="6" t="s">
        <v>2236</v>
      </c>
      <c r="B335" s="6" t="s">
        <v>935</v>
      </c>
      <c r="C335" s="27">
        <v>46298.0</v>
      </c>
      <c r="D335" s="27">
        <v>46298.0</v>
      </c>
      <c r="E335" s="6" t="s">
        <v>1358</v>
      </c>
      <c r="F335" s="6" t="s">
        <v>1362</v>
      </c>
    </row>
    <row r="336" ht="21.0" customHeight="1">
      <c r="A336" s="6" t="s">
        <v>2237</v>
      </c>
      <c r="B336" s="6" t="s">
        <v>937</v>
      </c>
      <c r="C336" s="27">
        <v>46297.0</v>
      </c>
      <c r="D336" s="27">
        <v>46297.0</v>
      </c>
      <c r="E336" s="6" t="s">
        <v>1358</v>
      </c>
      <c r="F336" s="6" t="s">
        <v>1359</v>
      </c>
    </row>
    <row r="337" ht="21.0" customHeight="1">
      <c r="A337" s="6" t="s">
        <v>2239</v>
      </c>
      <c r="B337" s="6" t="s">
        <v>940</v>
      </c>
      <c r="C337" s="27">
        <v>46298.0</v>
      </c>
      <c r="D337" s="27">
        <v>46300.0</v>
      </c>
      <c r="E337" s="6" t="s">
        <v>1358</v>
      </c>
      <c r="F337" s="6" t="s">
        <v>1367</v>
      </c>
    </row>
    <row r="338" ht="21.0" customHeight="1">
      <c r="A338" s="6" t="s">
        <v>2241</v>
      </c>
      <c r="B338" s="6" t="s">
        <v>942</v>
      </c>
      <c r="C338" s="27">
        <v>46298.0</v>
      </c>
      <c r="D338" s="27">
        <v>46298.0</v>
      </c>
      <c r="E338" s="6" t="s">
        <v>1358</v>
      </c>
      <c r="F338" s="6" t="s">
        <v>1362</v>
      </c>
    </row>
    <row r="339" ht="21.0" customHeight="1">
      <c r="A339" s="6" t="s">
        <v>2242</v>
      </c>
      <c r="B339" s="6" t="s">
        <v>944</v>
      </c>
      <c r="C339" s="27">
        <v>46298.0</v>
      </c>
      <c r="D339" s="27">
        <v>46296.0</v>
      </c>
      <c r="E339" s="6" t="s">
        <v>1358</v>
      </c>
      <c r="F339" s="6" t="s">
        <v>1362</v>
      </c>
    </row>
    <row r="340" ht="21.0" customHeight="1">
      <c r="A340" s="6" t="s">
        <v>2244</v>
      </c>
      <c r="B340" s="6" t="s">
        <v>947</v>
      </c>
      <c r="C340" s="27">
        <v>46301.0</v>
      </c>
      <c r="D340" s="27">
        <v>46302.0</v>
      </c>
      <c r="E340" s="6" t="s">
        <v>1358</v>
      </c>
      <c r="F340" s="6" t="s">
        <v>1362</v>
      </c>
    </row>
    <row r="341" ht="21.0" customHeight="1">
      <c r="A341" s="6" t="s">
        <v>2245</v>
      </c>
      <c r="B341" s="6" t="s">
        <v>949</v>
      </c>
      <c r="C341" s="27">
        <v>46300.0</v>
      </c>
      <c r="D341" s="27">
        <v>46300.0</v>
      </c>
      <c r="E341" s="6" t="s">
        <v>1358</v>
      </c>
      <c r="F341" s="6" t="s">
        <v>1362</v>
      </c>
    </row>
    <row r="342" ht="21.0" customHeight="1">
      <c r="A342" s="6" t="s">
        <v>2247</v>
      </c>
      <c r="B342" s="6" t="s">
        <v>952</v>
      </c>
      <c r="C342" s="27">
        <v>46298.0</v>
      </c>
      <c r="D342" s="27">
        <v>46298.0</v>
      </c>
      <c r="E342" s="6" t="s">
        <v>1358</v>
      </c>
      <c r="F342" s="6" t="s">
        <v>1367</v>
      </c>
    </row>
    <row r="343" ht="21.0" customHeight="1">
      <c r="A343" s="6" t="s">
        <v>2248</v>
      </c>
      <c r="B343" s="6" t="s">
        <v>954</v>
      </c>
      <c r="C343" s="27">
        <v>46301.0</v>
      </c>
      <c r="D343" s="27">
        <v>46303.0</v>
      </c>
      <c r="E343" s="6" t="s">
        <v>1358</v>
      </c>
      <c r="F343" s="6" t="s">
        <v>1359</v>
      </c>
    </row>
    <row r="344" ht="21.0" customHeight="1">
      <c r="A344" s="6" t="s">
        <v>2250</v>
      </c>
      <c r="B344" s="6" t="s">
        <v>956</v>
      </c>
      <c r="C344" s="27">
        <v>46297.0</v>
      </c>
      <c r="D344" s="27">
        <v>46297.0</v>
      </c>
      <c r="E344" s="6" t="s">
        <v>1358</v>
      </c>
      <c r="F344" s="6" t="s">
        <v>1367</v>
      </c>
    </row>
    <row r="345" ht="21.0" customHeight="1">
      <c r="A345" s="6" t="s">
        <v>2251</v>
      </c>
      <c r="B345" s="6" t="s">
        <v>959</v>
      </c>
      <c r="C345" s="27">
        <v>46300.0</v>
      </c>
      <c r="D345" s="27">
        <v>46300.0</v>
      </c>
      <c r="E345" s="6" t="s">
        <v>1358</v>
      </c>
      <c r="F345" s="6" t="s">
        <v>1367</v>
      </c>
    </row>
    <row r="346" ht="21.0" customHeight="1">
      <c r="A346" s="6" t="s">
        <v>2253</v>
      </c>
      <c r="B346" s="6" t="s">
        <v>961</v>
      </c>
      <c r="C346" s="27">
        <v>46300.0</v>
      </c>
      <c r="D346" s="27">
        <v>46300.0</v>
      </c>
      <c r="E346" s="6" t="s">
        <v>1358</v>
      </c>
      <c r="F346" s="6" t="s">
        <v>1367</v>
      </c>
    </row>
    <row r="347" ht="21.0" customHeight="1">
      <c r="A347" s="6" t="s">
        <v>1770</v>
      </c>
      <c r="B347" s="6" t="s">
        <v>964</v>
      </c>
      <c r="C347" s="27">
        <v>46313.0</v>
      </c>
      <c r="D347" s="27"/>
      <c r="E347" s="6" t="s">
        <v>1389</v>
      </c>
      <c r="F347" s="6" t="s">
        <v>1367</v>
      </c>
    </row>
    <row r="348" ht="21.0" customHeight="1">
      <c r="A348" s="6" t="s">
        <v>2255</v>
      </c>
      <c r="B348" s="6" t="s">
        <v>969</v>
      </c>
      <c r="C348" s="27">
        <v>46300.0</v>
      </c>
      <c r="D348" s="27">
        <v>46301.0</v>
      </c>
      <c r="E348" s="6" t="s">
        <v>1358</v>
      </c>
      <c r="F348" s="6" t="s">
        <v>1359</v>
      </c>
    </row>
    <row r="349" ht="21.0" customHeight="1">
      <c r="A349" s="6" t="s">
        <v>2257</v>
      </c>
      <c r="B349" s="6" t="s">
        <v>971</v>
      </c>
      <c r="C349" s="27">
        <v>46302.0</v>
      </c>
      <c r="D349" s="27">
        <v>46302.0</v>
      </c>
      <c r="E349" s="6" t="s">
        <v>1358</v>
      </c>
      <c r="F349" s="6" t="s">
        <v>1359</v>
      </c>
    </row>
    <row r="350" ht="21.0" customHeight="1">
      <c r="A350" s="6" t="s">
        <v>2259</v>
      </c>
      <c r="B350" s="6" t="s">
        <v>974</v>
      </c>
      <c r="C350" s="27">
        <v>46298.0</v>
      </c>
      <c r="D350" s="27">
        <v>46298.0</v>
      </c>
      <c r="E350" s="6" t="s">
        <v>1358</v>
      </c>
      <c r="F350" s="6" t="s">
        <v>1359</v>
      </c>
    </row>
    <row r="351" ht="21.0" customHeight="1">
      <c r="A351" s="6" t="s">
        <v>2260</v>
      </c>
      <c r="B351" s="6" t="s">
        <v>976</v>
      </c>
      <c r="C351" s="27">
        <v>46301.0</v>
      </c>
      <c r="D351" s="27">
        <v>46299.0</v>
      </c>
      <c r="E351" s="6" t="s">
        <v>1358</v>
      </c>
      <c r="F351" s="6" t="s">
        <v>1359</v>
      </c>
    </row>
    <row r="352" ht="21.0" customHeight="1">
      <c r="A352" s="6" t="s">
        <v>2262</v>
      </c>
      <c r="B352" s="6" t="s">
        <v>979</v>
      </c>
      <c r="C352" s="27">
        <v>46302.0</v>
      </c>
      <c r="D352" s="27">
        <v>46300.0</v>
      </c>
      <c r="E352" s="6" t="s">
        <v>1358</v>
      </c>
      <c r="F352" s="6" t="s">
        <v>1359</v>
      </c>
    </row>
    <row r="353" ht="21.0" customHeight="1">
      <c r="A353" s="6" t="s">
        <v>1775</v>
      </c>
      <c r="B353" s="6" t="s">
        <v>982</v>
      </c>
      <c r="C353" s="27">
        <v>46300.0</v>
      </c>
      <c r="D353" s="27"/>
      <c r="E353" s="6" t="s">
        <v>97</v>
      </c>
      <c r="F353" s="6" t="s">
        <v>1359</v>
      </c>
    </row>
    <row r="354" ht="21.0" customHeight="1">
      <c r="A354" s="6" t="s">
        <v>2264</v>
      </c>
      <c r="B354" s="6" t="s">
        <v>985</v>
      </c>
      <c r="C354" s="27">
        <v>46298.0</v>
      </c>
      <c r="D354" s="27">
        <v>46297.0</v>
      </c>
      <c r="E354" s="6" t="s">
        <v>1358</v>
      </c>
      <c r="F354" s="6" t="s">
        <v>1367</v>
      </c>
    </row>
    <row r="355" ht="21.0" customHeight="1">
      <c r="A355" s="6" t="s">
        <v>2266</v>
      </c>
      <c r="B355" s="6" t="s">
        <v>987</v>
      </c>
      <c r="C355" s="27">
        <v>46300.0</v>
      </c>
      <c r="D355" s="27">
        <v>46300.0</v>
      </c>
      <c r="E355" s="6" t="s">
        <v>1358</v>
      </c>
      <c r="F355" s="6" t="s">
        <v>1367</v>
      </c>
    </row>
    <row r="356" ht="21.0" customHeight="1">
      <c r="A356" s="6" t="s">
        <v>2268</v>
      </c>
      <c r="B356" s="6" t="s">
        <v>990</v>
      </c>
      <c r="C356" s="27">
        <v>46303.0</v>
      </c>
      <c r="D356" s="27">
        <v>46304.0</v>
      </c>
      <c r="E356" s="6" t="s">
        <v>1358</v>
      </c>
      <c r="F356" s="6" t="s">
        <v>1359</v>
      </c>
    </row>
    <row r="357" ht="21.0" customHeight="1">
      <c r="A357" s="6" t="s">
        <v>2269</v>
      </c>
      <c r="B357" s="6" t="s">
        <v>992</v>
      </c>
      <c r="C357" s="27">
        <v>46300.0</v>
      </c>
      <c r="D357" s="27">
        <v>46298.0</v>
      </c>
      <c r="E357" s="6" t="s">
        <v>1358</v>
      </c>
      <c r="F357" s="6" t="s">
        <v>1359</v>
      </c>
    </row>
    <row r="358" ht="21.0" customHeight="1">
      <c r="A358" s="6" t="s">
        <v>2271</v>
      </c>
      <c r="B358" s="6" t="s">
        <v>995</v>
      </c>
      <c r="C358" s="27">
        <v>46300.0</v>
      </c>
      <c r="D358" s="27">
        <v>46300.0</v>
      </c>
      <c r="E358" s="6" t="s">
        <v>1358</v>
      </c>
      <c r="F358" s="6" t="s">
        <v>1359</v>
      </c>
    </row>
    <row r="359" ht="21.0" customHeight="1">
      <c r="A359" s="6" t="s">
        <v>2273</v>
      </c>
      <c r="B359" s="6" t="s">
        <v>997</v>
      </c>
      <c r="C359" s="27">
        <v>46299.0</v>
      </c>
      <c r="D359" s="27">
        <v>46299.0</v>
      </c>
      <c r="E359" s="6" t="s">
        <v>1358</v>
      </c>
      <c r="F359" s="6" t="s">
        <v>1359</v>
      </c>
    </row>
    <row r="360" ht="21.0" customHeight="1">
      <c r="A360" s="6" t="s">
        <v>1779</v>
      </c>
      <c r="B360" s="6" t="s">
        <v>1000</v>
      </c>
      <c r="C360" s="27">
        <v>46306.0</v>
      </c>
      <c r="D360" s="27"/>
      <c r="E360" s="6" t="s">
        <v>1389</v>
      </c>
      <c r="F360" s="6" t="s">
        <v>1367</v>
      </c>
    </row>
    <row r="361" ht="21.0" customHeight="1">
      <c r="A361" s="6" t="s">
        <v>2274</v>
      </c>
      <c r="B361" s="6" t="s">
        <v>1002</v>
      </c>
      <c r="C361" s="27">
        <v>46300.0</v>
      </c>
      <c r="D361" s="27">
        <v>46302.0</v>
      </c>
      <c r="E361" s="6" t="s">
        <v>1358</v>
      </c>
      <c r="F361" s="6" t="s">
        <v>1362</v>
      </c>
    </row>
    <row r="362" ht="21.0" customHeight="1">
      <c r="A362" s="6" t="s">
        <v>2276</v>
      </c>
      <c r="B362" s="6" t="s">
        <v>1005</v>
      </c>
      <c r="C362" s="27">
        <v>46302.0</v>
      </c>
      <c r="D362" s="27">
        <v>46302.0</v>
      </c>
      <c r="E362" s="6" t="s">
        <v>1358</v>
      </c>
      <c r="F362" s="6" t="s">
        <v>1367</v>
      </c>
    </row>
    <row r="363" ht="21.0" customHeight="1">
      <c r="A363" s="6" t="s">
        <v>2277</v>
      </c>
      <c r="B363" s="6" t="s">
        <v>1007</v>
      </c>
      <c r="C363" s="27">
        <v>46300.0</v>
      </c>
      <c r="D363" s="27">
        <v>46300.0</v>
      </c>
      <c r="E363" s="6" t="s">
        <v>1358</v>
      </c>
      <c r="F363" s="6" t="s">
        <v>1367</v>
      </c>
    </row>
    <row r="364" ht="21.0" customHeight="1">
      <c r="A364" s="6" t="s">
        <v>2279</v>
      </c>
      <c r="B364" s="6" t="s">
        <v>1010</v>
      </c>
      <c r="C364" s="27">
        <v>46304.0</v>
      </c>
      <c r="D364" s="27">
        <v>46303.0</v>
      </c>
      <c r="E364" s="6" t="s">
        <v>1358</v>
      </c>
      <c r="F364" s="6" t="s">
        <v>1362</v>
      </c>
    </row>
    <row r="365" ht="21.0" customHeight="1">
      <c r="A365" s="6" t="s">
        <v>2281</v>
      </c>
      <c r="B365" s="6" t="s">
        <v>1012</v>
      </c>
      <c r="C365" s="27">
        <v>46301.0</v>
      </c>
      <c r="D365" s="27">
        <v>46301.0</v>
      </c>
      <c r="E365" s="6" t="s">
        <v>1358</v>
      </c>
      <c r="F365" s="6" t="s">
        <v>1362</v>
      </c>
    </row>
    <row r="366" ht="21.0" customHeight="1">
      <c r="A366" s="6" t="s">
        <v>2283</v>
      </c>
      <c r="B366" s="6" t="s">
        <v>1015</v>
      </c>
      <c r="C366" s="27">
        <v>46300.0</v>
      </c>
      <c r="D366" s="27">
        <v>46301.0</v>
      </c>
      <c r="E366" s="6" t="s">
        <v>1358</v>
      </c>
      <c r="F366" s="6" t="s">
        <v>1359</v>
      </c>
    </row>
    <row r="367" ht="21.0" customHeight="1">
      <c r="A367" s="6" t="s">
        <v>2284</v>
      </c>
      <c r="B367" s="6" t="s">
        <v>1017</v>
      </c>
      <c r="C367" s="27">
        <v>46303.0</v>
      </c>
      <c r="D367" s="27">
        <v>46303.0</v>
      </c>
      <c r="E367" s="6" t="s">
        <v>1358</v>
      </c>
      <c r="F367" s="6" t="s">
        <v>1367</v>
      </c>
    </row>
    <row r="368" ht="21.0" customHeight="1">
      <c r="A368" s="6" t="s">
        <v>2286</v>
      </c>
      <c r="B368" s="6" t="s">
        <v>1020</v>
      </c>
      <c r="C368" s="27">
        <v>46303.0</v>
      </c>
      <c r="D368" s="27">
        <v>46305.0</v>
      </c>
      <c r="E368" s="6" t="s">
        <v>1358</v>
      </c>
      <c r="F368" s="6" t="s">
        <v>1367</v>
      </c>
    </row>
    <row r="369" ht="21.0" customHeight="1">
      <c r="A369" s="6" t="s">
        <v>2288</v>
      </c>
      <c r="B369" s="6" t="s">
        <v>1022</v>
      </c>
      <c r="C369" s="27">
        <v>46302.0</v>
      </c>
      <c r="D369" s="27">
        <v>46301.0</v>
      </c>
      <c r="E369" s="6" t="s">
        <v>1358</v>
      </c>
      <c r="F369" s="6" t="s">
        <v>1362</v>
      </c>
    </row>
    <row r="370" ht="21.0" customHeight="1">
      <c r="A370" s="6" t="s">
        <v>2289</v>
      </c>
      <c r="B370" s="6" t="s">
        <v>1025</v>
      </c>
      <c r="C370" s="27">
        <v>46304.0</v>
      </c>
      <c r="D370" s="27">
        <v>46306.0</v>
      </c>
      <c r="E370" s="6" t="s">
        <v>1358</v>
      </c>
      <c r="F370" s="6" t="s">
        <v>1367</v>
      </c>
    </row>
    <row r="371" ht="21.0" customHeight="1">
      <c r="A371" s="6" t="s">
        <v>2291</v>
      </c>
      <c r="B371" s="6" t="s">
        <v>1027</v>
      </c>
      <c r="C371" s="27">
        <v>46301.0</v>
      </c>
      <c r="D371" s="27">
        <v>46301.0</v>
      </c>
      <c r="E371" s="6" t="s">
        <v>1358</v>
      </c>
      <c r="F371" s="6" t="s">
        <v>1367</v>
      </c>
    </row>
    <row r="372" ht="21.0" customHeight="1">
      <c r="A372" s="6" t="s">
        <v>2292</v>
      </c>
      <c r="B372" s="6" t="s">
        <v>1029</v>
      </c>
      <c r="C372" s="27">
        <v>46303.0</v>
      </c>
      <c r="D372" s="27">
        <v>46303.0</v>
      </c>
      <c r="E372" s="6" t="s">
        <v>1358</v>
      </c>
      <c r="F372" s="6" t="s">
        <v>1362</v>
      </c>
    </row>
    <row r="373" ht="21.0" customHeight="1">
      <c r="A373" s="6" t="s">
        <v>2294</v>
      </c>
      <c r="B373" s="6" t="s">
        <v>1031</v>
      </c>
      <c r="C373" s="27">
        <v>46302.0</v>
      </c>
      <c r="D373" s="27">
        <v>46300.0</v>
      </c>
      <c r="E373" s="6" t="s">
        <v>1358</v>
      </c>
      <c r="F373" s="6" t="s">
        <v>1367</v>
      </c>
    </row>
    <row r="374" ht="21.0" customHeight="1">
      <c r="A374" s="6" t="s">
        <v>2295</v>
      </c>
      <c r="B374" s="6" t="s">
        <v>1034</v>
      </c>
      <c r="C374" s="27">
        <v>46304.0</v>
      </c>
      <c r="D374" s="27">
        <v>46304.0</v>
      </c>
      <c r="E374" s="6" t="s">
        <v>1358</v>
      </c>
      <c r="F374" s="6" t="s">
        <v>1359</v>
      </c>
    </row>
    <row r="375" ht="21.0" customHeight="1">
      <c r="A375" s="6" t="s">
        <v>1784</v>
      </c>
      <c r="B375" s="6" t="s">
        <v>1037</v>
      </c>
      <c r="C375" s="27">
        <v>46308.0</v>
      </c>
      <c r="D375" s="27"/>
      <c r="E375" s="6" t="s">
        <v>1389</v>
      </c>
      <c r="F375" s="6" t="s">
        <v>1367</v>
      </c>
    </row>
    <row r="376" ht="21.0" customHeight="1">
      <c r="A376" s="6" t="s">
        <v>2297</v>
      </c>
      <c r="B376" s="6" t="s">
        <v>1039</v>
      </c>
      <c r="C376" s="27">
        <v>46303.0</v>
      </c>
      <c r="D376" s="27">
        <v>46302.0</v>
      </c>
      <c r="E376" s="6" t="s">
        <v>1358</v>
      </c>
      <c r="F376" s="6" t="s">
        <v>1362</v>
      </c>
    </row>
    <row r="377" ht="21.0" customHeight="1">
      <c r="A377" s="6" t="s">
        <v>2298</v>
      </c>
      <c r="B377" s="6" t="s">
        <v>1042</v>
      </c>
      <c r="C377" s="27">
        <v>46302.0</v>
      </c>
      <c r="D377" s="27">
        <v>46302.0</v>
      </c>
      <c r="E377" s="6" t="s">
        <v>1358</v>
      </c>
      <c r="F377" s="6" t="s">
        <v>1362</v>
      </c>
    </row>
    <row r="378" ht="21.0" customHeight="1">
      <c r="A378" s="6" t="s">
        <v>2300</v>
      </c>
      <c r="B378" s="6" t="s">
        <v>1044</v>
      </c>
      <c r="C378" s="27">
        <v>46302.0</v>
      </c>
      <c r="D378" s="27">
        <v>46304.0</v>
      </c>
      <c r="E378" s="6" t="s">
        <v>1358</v>
      </c>
      <c r="F378" s="6" t="s">
        <v>1359</v>
      </c>
    </row>
    <row r="379" ht="21.0" customHeight="1">
      <c r="A379" s="6" t="s">
        <v>2301</v>
      </c>
      <c r="B379" s="6" t="s">
        <v>1047</v>
      </c>
      <c r="C379" s="27">
        <v>46302.0</v>
      </c>
      <c r="D379" s="27">
        <v>46302.0</v>
      </c>
      <c r="E379" s="6" t="s">
        <v>1358</v>
      </c>
      <c r="F379" s="6" t="s">
        <v>1362</v>
      </c>
    </row>
    <row r="380" ht="21.0" customHeight="1">
      <c r="A380" s="6" t="s">
        <v>2303</v>
      </c>
      <c r="B380" s="6" t="s">
        <v>1049</v>
      </c>
      <c r="C380" s="27">
        <v>46304.0</v>
      </c>
      <c r="D380" s="27">
        <v>46304.0</v>
      </c>
      <c r="E380" s="6" t="s">
        <v>1358</v>
      </c>
      <c r="F380" s="6" t="s">
        <v>1362</v>
      </c>
    </row>
    <row r="381" ht="21.0" customHeight="1">
      <c r="A381" s="6" t="s">
        <v>2304</v>
      </c>
      <c r="B381" s="6" t="s">
        <v>1051</v>
      </c>
      <c r="C381" s="27">
        <v>46305.0</v>
      </c>
      <c r="D381" s="27">
        <v>46305.0</v>
      </c>
      <c r="E381" s="6" t="s">
        <v>1358</v>
      </c>
      <c r="F381" s="6" t="s">
        <v>1367</v>
      </c>
    </row>
    <row r="382" ht="21.0" customHeight="1">
      <c r="A382" s="6" t="s">
        <v>2305</v>
      </c>
      <c r="B382" s="6" t="s">
        <v>1054</v>
      </c>
      <c r="C382" s="27">
        <v>46306.0</v>
      </c>
      <c r="D382" s="27">
        <v>46306.0</v>
      </c>
      <c r="E382" s="6" t="s">
        <v>1358</v>
      </c>
      <c r="F382" s="6" t="s">
        <v>1367</v>
      </c>
    </row>
    <row r="383" ht="21.0" customHeight="1">
      <c r="A383" s="6" t="s">
        <v>2307</v>
      </c>
      <c r="B383" s="6" t="s">
        <v>1056</v>
      </c>
      <c r="C383" s="27">
        <v>46304.0</v>
      </c>
      <c r="D383" s="27">
        <v>46305.0</v>
      </c>
      <c r="E383" s="6" t="s">
        <v>1358</v>
      </c>
      <c r="F383" s="6" t="s">
        <v>1362</v>
      </c>
    </row>
    <row r="384" ht="21.0" customHeight="1">
      <c r="A384" s="6" t="s">
        <v>2308</v>
      </c>
      <c r="B384" s="6" t="s">
        <v>1059</v>
      </c>
      <c r="C384" s="27">
        <v>46306.0</v>
      </c>
      <c r="D384" s="27">
        <v>46304.0</v>
      </c>
      <c r="E384" s="6" t="s">
        <v>1358</v>
      </c>
      <c r="F384" s="6" t="s">
        <v>1362</v>
      </c>
    </row>
    <row r="385" ht="21.0" customHeight="1">
      <c r="A385" s="6" t="s">
        <v>2311</v>
      </c>
      <c r="B385" s="6" t="s">
        <v>1061</v>
      </c>
      <c r="C385" s="27">
        <v>46305.0</v>
      </c>
      <c r="D385" s="27">
        <v>46305.0</v>
      </c>
      <c r="E385" s="6" t="s">
        <v>1358</v>
      </c>
      <c r="F385" s="6" t="s">
        <v>1367</v>
      </c>
    </row>
    <row r="386" ht="21.0" customHeight="1">
      <c r="A386" s="6" t="s">
        <v>1788</v>
      </c>
      <c r="B386" s="6" t="s">
        <v>1063</v>
      </c>
      <c r="C386" s="27">
        <v>46310.0</v>
      </c>
      <c r="D386" s="27"/>
      <c r="E386" s="6" t="s">
        <v>1389</v>
      </c>
      <c r="F386" s="6" t="s">
        <v>1359</v>
      </c>
    </row>
    <row r="387" ht="21.0" customHeight="1">
      <c r="A387" s="6" t="s">
        <v>2313</v>
      </c>
      <c r="B387" s="6" t="s">
        <v>1066</v>
      </c>
      <c r="C387" s="27">
        <v>46303.0</v>
      </c>
      <c r="D387" s="27">
        <v>46303.0</v>
      </c>
      <c r="E387" s="6" t="s">
        <v>1358</v>
      </c>
      <c r="F387" s="6" t="s">
        <v>1362</v>
      </c>
    </row>
    <row r="388" ht="21.0" customHeight="1">
      <c r="A388" s="6" t="s">
        <v>2315</v>
      </c>
      <c r="B388" s="6" t="s">
        <v>1068</v>
      </c>
      <c r="C388" s="27">
        <v>46307.0</v>
      </c>
      <c r="D388" s="27">
        <v>46308.0</v>
      </c>
      <c r="E388" s="6" t="s">
        <v>1358</v>
      </c>
      <c r="F388" s="6" t="s">
        <v>1367</v>
      </c>
    </row>
    <row r="389" ht="21.0" customHeight="1">
      <c r="A389" s="6" t="s">
        <v>2316</v>
      </c>
      <c r="B389" s="6" t="s">
        <v>1071</v>
      </c>
      <c r="C389" s="27">
        <v>46305.0</v>
      </c>
      <c r="D389" s="27">
        <v>46303.0</v>
      </c>
      <c r="E389" s="6" t="s">
        <v>1358</v>
      </c>
      <c r="F389" s="6" t="s">
        <v>1367</v>
      </c>
    </row>
    <row r="390" ht="21.0" customHeight="1">
      <c r="A390" s="6" t="s">
        <v>2318</v>
      </c>
      <c r="B390" s="6" t="s">
        <v>1073</v>
      </c>
      <c r="C390" s="27">
        <v>46307.0</v>
      </c>
      <c r="D390" s="27">
        <v>46308.0</v>
      </c>
      <c r="E390" s="6" t="s">
        <v>1358</v>
      </c>
      <c r="F390" s="6" t="s">
        <v>1359</v>
      </c>
    </row>
    <row r="391" ht="21.0" customHeight="1">
      <c r="A391" s="6" t="s">
        <v>2319</v>
      </c>
      <c r="B391" s="6" t="s">
        <v>1075</v>
      </c>
      <c r="C391" s="27">
        <v>46307.0</v>
      </c>
      <c r="D391" s="27">
        <v>46306.0</v>
      </c>
      <c r="E391" s="6" t="s">
        <v>1358</v>
      </c>
      <c r="F391" s="6" t="s">
        <v>1367</v>
      </c>
    </row>
    <row r="392" ht="21.0" customHeight="1">
      <c r="A392" s="6" t="s">
        <v>2321</v>
      </c>
      <c r="B392" s="6" t="s">
        <v>1078</v>
      </c>
      <c r="C392" s="27">
        <v>46307.0</v>
      </c>
      <c r="D392" s="27">
        <v>46308.0</v>
      </c>
      <c r="E392" s="6" t="s">
        <v>1358</v>
      </c>
      <c r="F392" s="6" t="s">
        <v>1362</v>
      </c>
    </row>
    <row r="393" ht="21.0" customHeight="1">
      <c r="A393" s="6" t="s">
        <v>2322</v>
      </c>
      <c r="B393" s="6" t="s">
        <v>1080</v>
      </c>
      <c r="C393" s="27">
        <v>46307.0</v>
      </c>
      <c r="D393" s="27">
        <v>46308.0</v>
      </c>
      <c r="E393" s="6" t="s">
        <v>1358</v>
      </c>
      <c r="F393" s="6" t="s">
        <v>1367</v>
      </c>
    </row>
    <row r="394" ht="21.0" customHeight="1">
      <c r="A394" s="6" t="s">
        <v>2324</v>
      </c>
      <c r="B394" s="6" t="s">
        <v>1083</v>
      </c>
      <c r="C394" s="27">
        <v>46304.0</v>
      </c>
      <c r="D394" s="27">
        <v>46302.0</v>
      </c>
      <c r="E394" s="6" t="s">
        <v>1358</v>
      </c>
      <c r="F394" s="6" t="s">
        <v>1362</v>
      </c>
    </row>
    <row r="395" ht="21.0" customHeight="1">
      <c r="A395" s="6" t="s">
        <v>2325</v>
      </c>
      <c r="B395" s="6" t="s">
        <v>1085</v>
      </c>
      <c r="C395" s="27">
        <v>46308.0</v>
      </c>
      <c r="D395" s="27">
        <v>46308.0</v>
      </c>
      <c r="E395" s="6" t="s">
        <v>1358</v>
      </c>
      <c r="F395" s="6" t="s">
        <v>1367</v>
      </c>
    </row>
    <row r="396" ht="21.0" customHeight="1">
      <c r="A396" s="6" t="s">
        <v>2327</v>
      </c>
      <c r="B396" s="6" t="s">
        <v>1087</v>
      </c>
      <c r="C396" s="27">
        <v>46307.0</v>
      </c>
      <c r="D396" s="27">
        <v>46307.0</v>
      </c>
      <c r="E396" s="6" t="s">
        <v>1358</v>
      </c>
      <c r="F396" s="6" t="s">
        <v>1367</v>
      </c>
    </row>
    <row r="397" ht="21.0" customHeight="1">
      <c r="A397" s="6" t="s">
        <v>2329</v>
      </c>
      <c r="B397" s="6" t="s">
        <v>1090</v>
      </c>
      <c r="C397" s="27">
        <v>46308.0</v>
      </c>
      <c r="D397" s="27">
        <v>46308.0</v>
      </c>
      <c r="E397" s="6" t="s">
        <v>1358</v>
      </c>
      <c r="F397" s="6" t="s">
        <v>1367</v>
      </c>
    </row>
    <row r="398" ht="21.0" customHeight="1">
      <c r="A398" s="6" t="s">
        <v>2331</v>
      </c>
      <c r="B398" s="6" t="s">
        <v>1092</v>
      </c>
      <c r="C398" s="27">
        <v>46304.0</v>
      </c>
      <c r="D398" s="27">
        <v>46306.0</v>
      </c>
      <c r="E398" s="6" t="s">
        <v>1358</v>
      </c>
      <c r="F398" s="6" t="s">
        <v>1367</v>
      </c>
    </row>
    <row r="399" ht="21.0" customHeight="1">
      <c r="A399" s="6" t="s">
        <v>2332</v>
      </c>
      <c r="B399" s="6" t="s">
        <v>1095</v>
      </c>
      <c r="C399" s="27">
        <v>46307.0</v>
      </c>
      <c r="D399" s="27">
        <v>46307.0</v>
      </c>
      <c r="E399" s="6" t="s">
        <v>1358</v>
      </c>
      <c r="F399" s="6" t="s">
        <v>1359</v>
      </c>
    </row>
    <row r="400" ht="21.0" customHeight="1">
      <c r="A400" s="6" t="s">
        <v>2334</v>
      </c>
      <c r="B400" s="6" t="s">
        <v>1097</v>
      </c>
      <c r="C400" s="27">
        <v>46308.0</v>
      </c>
      <c r="D400" s="27">
        <v>46308.0</v>
      </c>
      <c r="E400" s="6" t="s">
        <v>1358</v>
      </c>
      <c r="F400" s="6" t="s">
        <v>1362</v>
      </c>
    </row>
    <row r="401" ht="21.0" customHeight="1">
      <c r="A401" s="6" t="s">
        <v>2335</v>
      </c>
      <c r="B401" s="6" t="s">
        <v>1100</v>
      </c>
      <c r="C401" s="27">
        <v>46309.0</v>
      </c>
      <c r="D401" s="27">
        <v>46309.0</v>
      </c>
      <c r="E401" s="6" t="s">
        <v>1358</v>
      </c>
      <c r="F401" s="6" t="s">
        <v>1362</v>
      </c>
    </row>
    <row r="402" ht="21.0" customHeight="1">
      <c r="A402" s="6" t="s">
        <v>2337</v>
      </c>
      <c r="B402" s="6" t="s">
        <v>1102</v>
      </c>
      <c r="C402" s="27">
        <v>46309.0</v>
      </c>
      <c r="D402" s="27">
        <v>46310.0</v>
      </c>
      <c r="E402" s="6" t="s">
        <v>1358</v>
      </c>
      <c r="F402" s="6" t="s">
        <v>1359</v>
      </c>
    </row>
    <row r="403" ht="21.0" customHeight="1">
      <c r="A403" s="6" t="s">
        <v>2338</v>
      </c>
      <c r="B403" s="6" t="s">
        <v>1105</v>
      </c>
      <c r="C403" s="27">
        <v>46308.0</v>
      </c>
      <c r="D403" s="27">
        <v>46308.0</v>
      </c>
      <c r="E403" s="6" t="s">
        <v>1358</v>
      </c>
      <c r="F403" s="6" t="s">
        <v>1359</v>
      </c>
    </row>
    <row r="404" ht="21.0" customHeight="1">
      <c r="A404" s="6" t="s">
        <v>2340</v>
      </c>
      <c r="B404" s="6" t="s">
        <v>1107</v>
      </c>
      <c r="C404" s="27">
        <v>46306.0</v>
      </c>
      <c r="D404" s="27">
        <v>46305.0</v>
      </c>
      <c r="E404" s="6" t="s">
        <v>1358</v>
      </c>
      <c r="F404" s="6" t="s">
        <v>1359</v>
      </c>
    </row>
    <row r="405" ht="21.0" customHeight="1">
      <c r="A405" s="6" t="s">
        <v>2341</v>
      </c>
      <c r="B405" s="6" t="s">
        <v>1110</v>
      </c>
      <c r="C405" s="27">
        <v>46308.0</v>
      </c>
      <c r="D405" s="27">
        <v>46308.0</v>
      </c>
      <c r="E405" s="6" t="s">
        <v>1358</v>
      </c>
      <c r="F405" s="6" t="s">
        <v>1367</v>
      </c>
    </row>
    <row r="406" ht="21.0" customHeight="1">
      <c r="A406" s="6" t="s">
        <v>2343</v>
      </c>
      <c r="B406" s="6" t="s">
        <v>1112</v>
      </c>
      <c r="C406" s="27">
        <v>46305.0</v>
      </c>
      <c r="D406" s="27">
        <v>46305.0</v>
      </c>
      <c r="E406" s="6" t="s">
        <v>1358</v>
      </c>
      <c r="F406" s="6" t="s">
        <v>1362</v>
      </c>
    </row>
    <row r="407" ht="21.0" customHeight="1">
      <c r="A407" s="6" t="s">
        <v>2345</v>
      </c>
      <c r="B407" s="6" t="s">
        <v>1115</v>
      </c>
      <c r="C407" s="27">
        <v>46305.0</v>
      </c>
      <c r="D407" s="27">
        <v>46307.0</v>
      </c>
      <c r="E407" s="6" t="s">
        <v>1358</v>
      </c>
      <c r="F407" s="6" t="s">
        <v>1367</v>
      </c>
    </row>
    <row r="408" ht="21.0" customHeight="1">
      <c r="A408" s="6" t="s">
        <v>2346</v>
      </c>
      <c r="B408" s="6" t="s">
        <v>1117</v>
      </c>
      <c r="C408" s="27">
        <v>46307.0</v>
      </c>
      <c r="D408" s="27">
        <v>46309.0</v>
      </c>
      <c r="E408" s="6" t="s">
        <v>1358</v>
      </c>
      <c r="F408" s="6" t="s">
        <v>1359</v>
      </c>
    </row>
    <row r="409" ht="21.0" customHeight="1">
      <c r="A409" s="6" t="s">
        <v>1793</v>
      </c>
      <c r="B409" s="6" t="s">
        <v>1120</v>
      </c>
      <c r="C409" s="27">
        <v>46311.0</v>
      </c>
      <c r="D409" s="27"/>
      <c r="E409" s="6" t="s">
        <v>1389</v>
      </c>
      <c r="F409" s="6" t="s">
        <v>1362</v>
      </c>
    </row>
    <row r="410" ht="21.0" customHeight="1">
      <c r="A410" s="6" t="s">
        <v>1798</v>
      </c>
      <c r="B410" s="6" t="s">
        <v>1122</v>
      </c>
      <c r="C410" s="27">
        <v>46309.0</v>
      </c>
      <c r="D410" s="27"/>
      <c r="E410" s="6" t="s">
        <v>97</v>
      </c>
      <c r="F410" s="6" t="s">
        <v>1359</v>
      </c>
    </row>
    <row r="411" ht="21.0" customHeight="1">
      <c r="A411" s="6" t="s">
        <v>2351</v>
      </c>
      <c r="B411" s="6" t="s">
        <v>1125</v>
      </c>
      <c r="C411" s="27">
        <v>46307.0</v>
      </c>
      <c r="D411" s="27">
        <v>46307.0</v>
      </c>
      <c r="E411" s="6" t="s">
        <v>1358</v>
      </c>
      <c r="F411" s="6" t="s">
        <v>1359</v>
      </c>
    </row>
    <row r="412" ht="21.0" customHeight="1">
      <c r="A412" s="6" t="s">
        <v>2352</v>
      </c>
      <c r="B412" s="6" t="s">
        <v>1127</v>
      </c>
      <c r="C412" s="27">
        <v>46308.0</v>
      </c>
      <c r="D412" s="27">
        <v>46307.0</v>
      </c>
      <c r="E412" s="6" t="s">
        <v>1358</v>
      </c>
      <c r="F412" s="6" t="s">
        <v>1362</v>
      </c>
    </row>
    <row r="413" ht="21.0" customHeight="1">
      <c r="A413" s="6" t="s">
        <v>2355</v>
      </c>
      <c r="B413" s="6" t="s">
        <v>1129</v>
      </c>
      <c r="C413" s="27">
        <v>46306.0</v>
      </c>
      <c r="D413" s="27">
        <v>46306.0</v>
      </c>
      <c r="E413" s="6" t="s">
        <v>1358</v>
      </c>
      <c r="F413" s="6" t="s">
        <v>1359</v>
      </c>
    </row>
    <row r="414" ht="21.0" customHeight="1">
      <c r="A414" s="6" t="s">
        <v>2356</v>
      </c>
      <c r="B414" s="6" t="s">
        <v>1132</v>
      </c>
      <c r="C414" s="27">
        <v>46310.0</v>
      </c>
      <c r="D414" s="27">
        <v>46310.0</v>
      </c>
      <c r="E414" s="6" t="s">
        <v>1358</v>
      </c>
      <c r="F414" s="6" t="s">
        <v>1367</v>
      </c>
    </row>
    <row r="415" ht="21.0" customHeight="1">
      <c r="A415" s="6" t="s">
        <v>2357</v>
      </c>
      <c r="B415" s="6" t="s">
        <v>1134</v>
      </c>
      <c r="C415" s="27">
        <v>46308.0</v>
      </c>
      <c r="D415" s="27">
        <v>46309.0</v>
      </c>
      <c r="E415" s="6" t="s">
        <v>1358</v>
      </c>
      <c r="F415" s="6" t="s">
        <v>1367</v>
      </c>
    </row>
    <row r="416" ht="21.0" customHeight="1">
      <c r="A416" s="6" t="s">
        <v>2358</v>
      </c>
      <c r="B416" s="6" t="s">
        <v>1137</v>
      </c>
      <c r="C416" s="27">
        <v>46309.0</v>
      </c>
      <c r="D416" s="27">
        <v>46309.0</v>
      </c>
      <c r="E416" s="6" t="s">
        <v>1358</v>
      </c>
      <c r="F416" s="6" t="s">
        <v>1367</v>
      </c>
    </row>
    <row r="417" ht="21.0" customHeight="1">
      <c r="A417" s="6" t="s">
        <v>2362</v>
      </c>
      <c r="B417" s="6" t="s">
        <v>1139</v>
      </c>
      <c r="C417" s="27">
        <v>46308.0</v>
      </c>
      <c r="D417" s="27">
        <v>46309.0</v>
      </c>
      <c r="E417" s="6" t="s">
        <v>1358</v>
      </c>
      <c r="F417" s="6" t="s">
        <v>1367</v>
      </c>
    </row>
    <row r="418" ht="21.0" customHeight="1">
      <c r="A418" s="6" t="s">
        <v>2364</v>
      </c>
      <c r="B418" s="6" t="s">
        <v>1142</v>
      </c>
      <c r="C418" s="27">
        <v>46307.0</v>
      </c>
      <c r="D418" s="27">
        <v>46306.0</v>
      </c>
      <c r="E418" s="6" t="s">
        <v>1358</v>
      </c>
      <c r="F418" s="6" t="s">
        <v>1359</v>
      </c>
    </row>
    <row r="419" ht="21.0" customHeight="1">
      <c r="A419" s="6" t="s">
        <v>2368</v>
      </c>
      <c r="B419" s="6" t="s">
        <v>1144</v>
      </c>
      <c r="C419" s="27">
        <v>46309.0</v>
      </c>
      <c r="D419" s="27">
        <v>46309.0</v>
      </c>
      <c r="E419" s="6" t="s">
        <v>1358</v>
      </c>
      <c r="F419" s="6" t="s">
        <v>1362</v>
      </c>
    </row>
    <row r="420" ht="21.0" customHeight="1">
      <c r="A420" s="6" t="s">
        <v>1804</v>
      </c>
      <c r="B420" s="6" t="s">
        <v>1146</v>
      </c>
      <c r="C420" s="27">
        <v>46308.0</v>
      </c>
      <c r="D420" s="27"/>
      <c r="E420" s="6" t="s">
        <v>97</v>
      </c>
      <c r="F420" s="6" t="s">
        <v>1359</v>
      </c>
    </row>
    <row r="421" ht="21.0" customHeight="1">
      <c r="A421" s="6" t="s">
        <v>2373</v>
      </c>
      <c r="B421" s="6" t="s">
        <v>1149</v>
      </c>
      <c r="C421" s="27">
        <v>46310.0</v>
      </c>
      <c r="D421" s="27">
        <v>46309.0</v>
      </c>
      <c r="E421" s="6" t="s">
        <v>1358</v>
      </c>
      <c r="F421" s="6" t="s">
        <v>1362</v>
      </c>
    </row>
    <row r="422" ht="21.0" customHeight="1">
      <c r="A422" s="6" t="s">
        <v>2376</v>
      </c>
      <c r="B422" s="6" t="s">
        <v>1151</v>
      </c>
      <c r="C422" s="27">
        <v>46310.0</v>
      </c>
      <c r="D422" s="27">
        <v>46310.0</v>
      </c>
      <c r="E422" s="6" t="s">
        <v>1358</v>
      </c>
      <c r="F422" s="6" t="s">
        <v>1359</v>
      </c>
    </row>
    <row r="423" ht="21.0" customHeight="1">
      <c r="A423" s="6" t="s">
        <v>2379</v>
      </c>
      <c r="B423" s="6" t="s">
        <v>1154</v>
      </c>
      <c r="C423" s="27">
        <v>46308.0</v>
      </c>
      <c r="D423" s="27">
        <v>46306.0</v>
      </c>
      <c r="E423" s="6" t="s">
        <v>1358</v>
      </c>
      <c r="F423" s="6" t="s">
        <v>1367</v>
      </c>
    </row>
    <row r="424" ht="21.0" customHeight="1">
      <c r="A424" s="6" t="s">
        <v>2380</v>
      </c>
      <c r="B424" s="6" t="s">
        <v>1156</v>
      </c>
      <c r="C424" s="27">
        <v>46311.0</v>
      </c>
      <c r="D424" s="27">
        <v>46311.0</v>
      </c>
      <c r="E424" s="6" t="s">
        <v>1358</v>
      </c>
      <c r="F424" s="6" t="s">
        <v>1362</v>
      </c>
    </row>
    <row r="425" ht="21.0" customHeight="1">
      <c r="A425" s="6" t="s">
        <v>2382</v>
      </c>
      <c r="B425" s="6" t="s">
        <v>1158</v>
      </c>
      <c r="C425" s="27">
        <v>46309.0</v>
      </c>
      <c r="D425" s="27">
        <v>46309.0</v>
      </c>
      <c r="E425" s="6" t="s">
        <v>1358</v>
      </c>
      <c r="F425" s="6" t="s">
        <v>1367</v>
      </c>
    </row>
    <row r="426" ht="21.0" customHeight="1">
      <c r="A426" s="6" t="s">
        <v>2384</v>
      </c>
      <c r="B426" s="6" t="s">
        <v>1161</v>
      </c>
      <c r="C426" s="27">
        <v>46309.0</v>
      </c>
      <c r="D426" s="27">
        <v>46307.0</v>
      </c>
      <c r="E426" s="6" t="s">
        <v>1358</v>
      </c>
      <c r="F426" s="6" t="s">
        <v>1359</v>
      </c>
    </row>
    <row r="427" ht="21.0" customHeight="1">
      <c r="A427" s="6" t="s">
        <v>2385</v>
      </c>
      <c r="B427" s="6" t="s">
        <v>1163</v>
      </c>
      <c r="C427" s="27">
        <v>46311.0</v>
      </c>
      <c r="D427" s="27">
        <v>46311.0</v>
      </c>
      <c r="E427" s="6" t="s">
        <v>1358</v>
      </c>
      <c r="F427" s="6" t="s">
        <v>1359</v>
      </c>
    </row>
    <row r="428" ht="21.0" customHeight="1">
      <c r="A428" s="6" t="s">
        <v>2387</v>
      </c>
      <c r="B428" s="6" t="s">
        <v>1166</v>
      </c>
      <c r="C428" s="27">
        <v>46309.0</v>
      </c>
      <c r="D428" s="27">
        <v>46309.0</v>
      </c>
      <c r="E428" s="6" t="s">
        <v>1358</v>
      </c>
      <c r="F428" s="6" t="s">
        <v>1359</v>
      </c>
    </row>
    <row r="429" ht="21.0" customHeight="1">
      <c r="A429" s="6" t="s">
        <v>2388</v>
      </c>
      <c r="B429" s="6" t="s">
        <v>1168</v>
      </c>
      <c r="C429" s="27">
        <v>46310.0</v>
      </c>
      <c r="D429" s="27">
        <v>46310.0</v>
      </c>
      <c r="E429" s="6" t="s">
        <v>1358</v>
      </c>
      <c r="F429" s="6" t="s">
        <v>1362</v>
      </c>
    </row>
    <row r="430" ht="21.0" customHeight="1">
      <c r="A430" s="6" t="s">
        <v>2390</v>
      </c>
      <c r="B430" s="6" t="s">
        <v>1170</v>
      </c>
      <c r="C430" s="27">
        <v>46311.0</v>
      </c>
      <c r="D430" s="27">
        <v>46311.0</v>
      </c>
      <c r="E430" s="6" t="s">
        <v>1358</v>
      </c>
      <c r="F430" s="6" t="s">
        <v>1359</v>
      </c>
    </row>
    <row r="431" ht="21.0" customHeight="1">
      <c r="A431" s="6" t="s">
        <v>2391</v>
      </c>
      <c r="B431" s="6" t="s">
        <v>1172</v>
      </c>
      <c r="C431" s="27">
        <v>46311.0</v>
      </c>
      <c r="D431" s="27">
        <v>46313.0</v>
      </c>
      <c r="E431" s="6" t="s">
        <v>1358</v>
      </c>
      <c r="F431" s="6" t="s">
        <v>1362</v>
      </c>
    </row>
    <row r="432" ht="21.0" customHeight="1">
      <c r="A432" s="6" t="s">
        <v>1811</v>
      </c>
      <c r="B432" s="6" t="s">
        <v>1175</v>
      </c>
      <c r="C432" s="27">
        <v>46314.0</v>
      </c>
      <c r="D432" s="27"/>
      <c r="E432" s="6" t="s">
        <v>1389</v>
      </c>
      <c r="F432" s="6" t="s">
        <v>1362</v>
      </c>
    </row>
    <row r="433" ht="21.0" customHeight="1">
      <c r="A433" s="6" t="s">
        <v>2393</v>
      </c>
      <c r="B433" s="6" t="s">
        <v>1177</v>
      </c>
      <c r="C433" s="27">
        <v>46309.0</v>
      </c>
      <c r="D433" s="27">
        <v>46309.0</v>
      </c>
      <c r="E433" s="6" t="s">
        <v>1358</v>
      </c>
      <c r="F433" s="6" t="s">
        <v>1359</v>
      </c>
    </row>
    <row r="434" ht="21.0" customHeight="1">
      <c r="A434" s="6" t="s">
        <v>2395</v>
      </c>
      <c r="B434" s="6" t="s">
        <v>1179</v>
      </c>
      <c r="C434" s="27">
        <v>46313.0</v>
      </c>
      <c r="D434" s="27">
        <v>46313.0</v>
      </c>
      <c r="E434" s="6" t="s">
        <v>1358</v>
      </c>
      <c r="F434" s="6" t="s">
        <v>1362</v>
      </c>
    </row>
    <row r="435" ht="21.0" customHeight="1">
      <c r="A435" s="6" t="s">
        <v>2396</v>
      </c>
      <c r="B435" s="6" t="s">
        <v>1182</v>
      </c>
      <c r="C435" s="27">
        <v>46311.0</v>
      </c>
      <c r="D435" s="27">
        <v>46311.0</v>
      </c>
      <c r="E435" s="6" t="s">
        <v>1358</v>
      </c>
      <c r="F435" s="6" t="s">
        <v>1367</v>
      </c>
    </row>
    <row r="436" ht="21.0" customHeight="1">
      <c r="A436" s="6" t="s">
        <v>2398</v>
      </c>
      <c r="B436" s="6" t="s">
        <v>1184</v>
      </c>
      <c r="C436" s="27">
        <v>46309.0</v>
      </c>
      <c r="D436" s="27">
        <v>46311.0</v>
      </c>
      <c r="E436" s="6" t="s">
        <v>1358</v>
      </c>
      <c r="F436" s="6" t="s">
        <v>1359</v>
      </c>
    </row>
    <row r="437" ht="21.0" customHeight="1">
      <c r="A437" s="6" t="s">
        <v>2399</v>
      </c>
      <c r="B437" s="6" t="s">
        <v>1187</v>
      </c>
      <c r="C437" s="27">
        <v>46312.0</v>
      </c>
      <c r="D437" s="27">
        <v>46312.0</v>
      </c>
      <c r="E437" s="6" t="s">
        <v>1358</v>
      </c>
      <c r="F437" s="6" t="s">
        <v>1367</v>
      </c>
    </row>
    <row r="438" ht="21.0" customHeight="1">
      <c r="A438" s="6" t="s">
        <v>2401</v>
      </c>
      <c r="B438" s="6" t="s">
        <v>1190</v>
      </c>
      <c r="C438" s="27">
        <v>46311.0</v>
      </c>
      <c r="D438" s="27">
        <v>46311.0</v>
      </c>
      <c r="E438" s="6" t="s">
        <v>1358</v>
      </c>
      <c r="F438" s="6" t="s">
        <v>1362</v>
      </c>
    </row>
    <row r="439" ht="21.0" customHeight="1">
      <c r="A439" s="6" t="s">
        <v>2402</v>
      </c>
      <c r="B439" s="6" t="s">
        <v>1192</v>
      </c>
      <c r="C439" s="27">
        <v>46311.0</v>
      </c>
      <c r="D439" s="27">
        <v>46311.0</v>
      </c>
      <c r="E439" s="6" t="s">
        <v>1358</v>
      </c>
      <c r="F439" s="6" t="s">
        <v>1367</v>
      </c>
    </row>
    <row r="440" ht="21.0" customHeight="1">
      <c r="A440" s="6" t="s">
        <v>2403</v>
      </c>
      <c r="B440" s="6" t="s">
        <v>1195</v>
      </c>
      <c r="C440" s="27">
        <v>46311.0</v>
      </c>
      <c r="D440" s="27">
        <v>46312.0</v>
      </c>
      <c r="E440" s="6" t="s">
        <v>1358</v>
      </c>
      <c r="F440" s="6" t="s">
        <v>1359</v>
      </c>
    </row>
    <row r="441" ht="21.0" customHeight="1">
      <c r="A441" s="6" t="s">
        <v>2404</v>
      </c>
      <c r="B441" s="6" t="s">
        <v>1197</v>
      </c>
      <c r="C441" s="27">
        <v>46310.0</v>
      </c>
      <c r="D441" s="27">
        <v>46310.0</v>
      </c>
      <c r="E441" s="6" t="s">
        <v>1358</v>
      </c>
      <c r="F441" s="6" t="s">
        <v>1359</v>
      </c>
    </row>
    <row r="442" ht="21.0" customHeight="1">
      <c r="A442" s="6" t="s">
        <v>2405</v>
      </c>
      <c r="B442" s="6" t="s">
        <v>1200</v>
      </c>
      <c r="C442" s="27">
        <v>46312.0</v>
      </c>
      <c r="D442" s="27">
        <v>46311.0</v>
      </c>
      <c r="E442" s="6" t="s">
        <v>1358</v>
      </c>
      <c r="F442" s="6" t="s">
        <v>1359</v>
      </c>
    </row>
    <row r="443" ht="21.0" customHeight="1">
      <c r="A443" s="6" t="s">
        <v>2406</v>
      </c>
      <c r="B443" s="6" t="s">
        <v>1202</v>
      </c>
      <c r="C443" s="27">
        <v>46313.0</v>
      </c>
      <c r="D443" s="27">
        <v>46313.0</v>
      </c>
      <c r="E443" s="6" t="s">
        <v>1358</v>
      </c>
      <c r="F443" s="6" t="s">
        <v>1367</v>
      </c>
    </row>
    <row r="444" ht="21.0" customHeight="1">
      <c r="A444" s="6" t="s">
        <v>2407</v>
      </c>
      <c r="B444" s="6" t="s">
        <v>1204</v>
      </c>
      <c r="C444" s="27">
        <v>46311.0</v>
      </c>
      <c r="D444" s="27">
        <v>46311.0</v>
      </c>
      <c r="E444" s="6" t="s">
        <v>1358</v>
      </c>
      <c r="F444" s="6" t="s">
        <v>1362</v>
      </c>
    </row>
    <row r="445" ht="21.0" customHeight="1">
      <c r="A445" s="6" t="s">
        <v>2408</v>
      </c>
      <c r="B445" s="6" t="s">
        <v>1207</v>
      </c>
      <c r="C445" s="27">
        <v>46312.0</v>
      </c>
      <c r="D445" s="27">
        <v>46311.0</v>
      </c>
      <c r="E445" s="6" t="s">
        <v>1358</v>
      </c>
      <c r="F445" s="6" t="s">
        <v>1359</v>
      </c>
    </row>
    <row r="446" ht="21.0" customHeight="1">
      <c r="A446" s="6" t="s">
        <v>2409</v>
      </c>
      <c r="B446" s="6" t="s">
        <v>1209</v>
      </c>
      <c r="C446" s="27">
        <v>46312.0</v>
      </c>
      <c r="D446" s="27">
        <v>46312.0</v>
      </c>
      <c r="E446" s="6" t="s">
        <v>1358</v>
      </c>
      <c r="F446" s="6" t="s">
        <v>1367</v>
      </c>
    </row>
    <row r="447" ht="21.0" customHeight="1">
      <c r="A447" s="6" t="s">
        <v>2410</v>
      </c>
      <c r="B447" s="6" t="s">
        <v>1212</v>
      </c>
      <c r="C447" s="27">
        <v>46313.0</v>
      </c>
      <c r="D447" s="27">
        <v>46315.0</v>
      </c>
      <c r="E447" s="6" t="s">
        <v>1358</v>
      </c>
      <c r="F447" s="6" t="s">
        <v>1367</v>
      </c>
    </row>
    <row r="448" ht="21.0" customHeight="1">
      <c r="A448" s="6" t="s">
        <v>2411</v>
      </c>
      <c r="B448" s="6" t="s">
        <v>1214</v>
      </c>
      <c r="C448" s="27">
        <v>46312.0</v>
      </c>
      <c r="D448" s="27">
        <v>46313.0</v>
      </c>
      <c r="E448" s="6" t="s">
        <v>1358</v>
      </c>
      <c r="F448" s="6" t="s">
        <v>1362</v>
      </c>
    </row>
    <row r="449" ht="21.0" customHeight="1">
      <c r="A449" s="6" t="s">
        <v>2412</v>
      </c>
      <c r="B449" s="6" t="s">
        <v>1217</v>
      </c>
      <c r="C449" s="27">
        <v>46312.0</v>
      </c>
      <c r="D449" s="27">
        <v>46311.0</v>
      </c>
      <c r="E449" s="6" t="s">
        <v>1358</v>
      </c>
      <c r="F449" s="6" t="s">
        <v>1362</v>
      </c>
    </row>
    <row r="450" ht="21.0" customHeight="1">
      <c r="A450" s="6" t="s">
        <v>2414</v>
      </c>
      <c r="B450" s="6" t="s">
        <v>1219</v>
      </c>
      <c r="C450" s="27">
        <v>46313.0</v>
      </c>
      <c r="D450" s="27">
        <v>46313.0</v>
      </c>
      <c r="E450" s="6" t="s">
        <v>1358</v>
      </c>
      <c r="F450" s="6" t="s">
        <v>1359</v>
      </c>
    </row>
    <row r="451" ht="21.0" customHeight="1">
      <c r="A451" s="6" t="s">
        <v>1817</v>
      </c>
      <c r="B451" s="6" t="s">
        <v>1221</v>
      </c>
      <c r="C451" s="27">
        <v>46309.0</v>
      </c>
      <c r="D451" s="27"/>
      <c r="E451" s="6" t="s">
        <v>1389</v>
      </c>
      <c r="F451" s="6" t="s">
        <v>1367</v>
      </c>
    </row>
    <row r="452" ht="21.0" customHeight="1">
      <c r="A452" s="6" t="s">
        <v>2415</v>
      </c>
      <c r="B452" s="6" t="s">
        <v>1224</v>
      </c>
      <c r="C452" s="27">
        <v>46313.0</v>
      </c>
      <c r="D452" s="27">
        <v>46311.0</v>
      </c>
      <c r="E452" s="6" t="s">
        <v>1358</v>
      </c>
      <c r="F452" s="6" t="s">
        <v>1367</v>
      </c>
    </row>
    <row r="453" ht="21.0" customHeight="1">
      <c r="A453" s="6" t="s">
        <v>2416</v>
      </c>
      <c r="B453" s="6" t="s">
        <v>1226</v>
      </c>
      <c r="C453" s="27">
        <v>46311.0</v>
      </c>
      <c r="D453" s="27">
        <v>46312.0</v>
      </c>
      <c r="E453" s="6" t="s">
        <v>1358</v>
      </c>
      <c r="F453" s="6" t="s">
        <v>1367</v>
      </c>
    </row>
    <row r="454" ht="21.0" customHeight="1">
      <c r="A454" s="6" t="s">
        <v>1821</v>
      </c>
      <c r="B454" s="6" t="s">
        <v>1229</v>
      </c>
      <c r="C454" s="27">
        <v>46314.0</v>
      </c>
      <c r="D454" s="27"/>
      <c r="E454" s="6" t="s">
        <v>1389</v>
      </c>
      <c r="F454" s="6" t="s">
        <v>1367</v>
      </c>
    </row>
    <row r="455" ht="21.0" customHeight="1">
      <c r="A455" s="6" t="s">
        <v>1825</v>
      </c>
      <c r="B455" s="6" t="s">
        <v>1231</v>
      </c>
      <c r="C455" s="27">
        <v>46315.0</v>
      </c>
      <c r="D455" s="27"/>
      <c r="E455" s="6" t="s">
        <v>97</v>
      </c>
      <c r="F455" s="6" t="s">
        <v>1367</v>
      </c>
    </row>
    <row r="456" ht="21.0" customHeight="1">
      <c r="A456" s="6" t="s">
        <v>2417</v>
      </c>
      <c r="B456" s="6" t="s">
        <v>1234</v>
      </c>
      <c r="C456" s="27">
        <v>46313.0</v>
      </c>
      <c r="D456" s="27">
        <v>46313.0</v>
      </c>
      <c r="E456" s="6" t="s">
        <v>1358</v>
      </c>
      <c r="F456" s="6" t="s">
        <v>1367</v>
      </c>
    </row>
    <row r="457" ht="21.0" customHeight="1">
      <c r="A457" s="6" t="s">
        <v>2419</v>
      </c>
      <c r="B457" s="6" t="s">
        <v>1236</v>
      </c>
      <c r="C457" s="27">
        <v>46312.0</v>
      </c>
      <c r="D457" s="27">
        <v>46310.0</v>
      </c>
      <c r="E457" s="6" t="s">
        <v>1358</v>
      </c>
      <c r="F457" s="6" t="s">
        <v>1359</v>
      </c>
    </row>
    <row r="458" ht="21.0" customHeight="1">
      <c r="A458" s="6" t="s">
        <v>1829</v>
      </c>
      <c r="B458" s="6" t="s">
        <v>1239</v>
      </c>
      <c r="C458" s="27">
        <v>46315.0</v>
      </c>
      <c r="D458" s="27"/>
      <c r="E458" s="6" t="s">
        <v>97</v>
      </c>
      <c r="F458" s="6" t="s">
        <v>1359</v>
      </c>
    </row>
    <row r="459" ht="21.0" customHeight="1">
      <c r="A459" s="6" t="s">
        <v>2421</v>
      </c>
      <c r="B459" s="6" t="s">
        <v>1241</v>
      </c>
      <c r="C459" s="27">
        <v>46316.0</v>
      </c>
      <c r="D459" s="27"/>
      <c r="E459" s="6" t="s">
        <v>1389</v>
      </c>
      <c r="F459" s="6" t="s">
        <v>1367</v>
      </c>
    </row>
    <row r="460" ht="21.0" customHeight="1">
      <c r="A460" s="6" t="s">
        <v>2422</v>
      </c>
      <c r="B460" s="6" t="s">
        <v>1244</v>
      </c>
      <c r="C460" s="27">
        <v>46316.0</v>
      </c>
      <c r="D460" s="27"/>
      <c r="E460" s="6" t="s">
        <v>1389</v>
      </c>
      <c r="F460" s="6" t="s">
        <v>1359</v>
      </c>
    </row>
    <row r="461" ht="21.0" customHeight="1">
      <c r="A461" s="6" t="s">
        <v>1834</v>
      </c>
      <c r="B461" s="6" t="s">
        <v>1246</v>
      </c>
      <c r="C461" s="27">
        <v>46314.0</v>
      </c>
      <c r="D461" s="27"/>
      <c r="E461" s="6" t="s">
        <v>1389</v>
      </c>
      <c r="F461" s="6" t="s">
        <v>1362</v>
      </c>
    </row>
    <row r="462" ht="21.0" customHeight="1">
      <c r="A462" s="6" t="s">
        <v>2425</v>
      </c>
      <c r="B462" s="6" t="s">
        <v>1248</v>
      </c>
      <c r="C462" s="27">
        <v>46316.0</v>
      </c>
      <c r="D462" s="27"/>
      <c r="E462" s="6" t="s">
        <v>97</v>
      </c>
      <c r="F462" s="6" t="s">
        <v>1359</v>
      </c>
    </row>
    <row r="463" ht="21.0" customHeight="1">
      <c r="A463" s="6" t="s">
        <v>2428</v>
      </c>
      <c r="B463" s="6" t="s">
        <v>1251</v>
      </c>
      <c r="C463" s="27">
        <v>46316.0</v>
      </c>
      <c r="D463" s="27"/>
      <c r="E463" s="6" t="s">
        <v>1389</v>
      </c>
      <c r="F463" s="6" t="s">
        <v>1362</v>
      </c>
    </row>
    <row r="464" ht="21.0" customHeight="1">
      <c r="A464" s="6" t="s">
        <v>2431</v>
      </c>
      <c r="B464" s="6" t="s">
        <v>1253</v>
      </c>
      <c r="C464" s="27">
        <v>46313.0</v>
      </c>
      <c r="D464" s="27">
        <v>46315.0</v>
      </c>
      <c r="E464" s="6" t="s">
        <v>1358</v>
      </c>
      <c r="F464" s="6" t="s">
        <v>1367</v>
      </c>
    </row>
    <row r="465" ht="21.0" customHeight="1">
      <c r="A465" s="6" t="s">
        <v>2434</v>
      </c>
      <c r="B465" s="6" t="s">
        <v>1256</v>
      </c>
      <c r="C465" s="27">
        <v>46316.0</v>
      </c>
      <c r="D465" s="27"/>
      <c r="E465" s="6" t="s">
        <v>97</v>
      </c>
      <c r="F465" s="6" t="s">
        <v>1362</v>
      </c>
    </row>
    <row r="466" ht="21.0" customHeight="1">
      <c r="A466" s="6" t="s">
        <v>2437</v>
      </c>
      <c r="B466" s="6" t="s">
        <v>1258</v>
      </c>
      <c r="C466" s="27">
        <v>46317.0</v>
      </c>
      <c r="D466" s="27"/>
      <c r="E466" s="6" t="s">
        <v>97</v>
      </c>
      <c r="F466" s="6" t="s">
        <v>1359</v>
      </c>
    </row>
    <row r="467" ht="21.0" customHeight="1">
      <c r="A467" s="6" t="s">
        <v>2441</v>
      </c>
      <c r="B467" s="6" t="s">
        <v>1261</v>
      </c>
      <c r="C467" s="27">
        <v>46313.0</v>
      </c>
      <c r="D467" s="27">
        <v>46313.0</v>
      </c>
      <c r="E467" s="6" t="s">
        <v>1358</v>
      </c>
      <c r="F467" s="6" t="s">
        <v>1362</v>
      </c>
    </row>
    <row r="468" ht="21.0" customHeight="1">
      <c r="A468" s="6" t="s">
        <v>2444</v>
      </c>
      <c r="B468" s="6" t="s">
        <v>1263</v>
      </c>
      <c r="C468" s="27">
        <v>46317.0</v>
      </c>
      <c r="D468" s="27"/>
      <c r="E468" s="6" t="s">
        <v>97</v>
      </c>
      <c r="F468" s="6" t="s">
        <v>1359</v>
      </c>
    </row>
    <row r="469" ht="21.0" customHeight="1">
      <c r="A469" s="6" t="s">
        <v>1840</v>
      </c>
      <c r="B469" s="6" t="s">
        <v>1265</v>
      </c>
      <c r="C469" s="27">
        <v>46314.0</v>
      </c>
      <c r="D469" s="27"/>
      <c r="E469" s="6" t="s">
        <v>97</v>
      </c>
      <c r="F469" s="6" t="s">
        <v>1362</v>
      </c>
    </row>
    <row r="470" ht="21.0" customHeight="1">
      <c r="A470" s="6" t="s">
        <v>1845</v>
      </c>
      <c r="B470" s="6" t="s">
        <v>1268</v>
      </c>
      <c r="C470" s="27">
        <v>46313.0</v>
      </c>
      <c r="D470" s="27"/>
      <c r="E470" s="6" t="s">
        <v>1389</v>
      </c>
      <c r="F470" s="6" t="s">
        <v>1367</v>
      </c>
    </row>
    <row r="471" ht="21.0" customHeight="1">
      <c r="A471" s="6" t="s">
        <v>1849</v>
      </c>
      <c r="B471" s="6" t="s">
        <v>1270</v>
      </c>
      <c r="C471" s="27">
        <v>46315.0</v>
      </c>
      <c r="D471" s="27"/>
      <c r="E471" s="6" t="s">
        <v>97</v>
      </c>
      <c r="F471" s="6" t="s">
        <v>1359</v>
      </c>
    </row>
    <row r="472" ht="21.0" customHeight="1">
      <c r="A472" s="6" t="s">
        <v>2445</v>
      </c>
      <c r="B472" s="6" t="s">
        <v>1273</v>
      </c>
      <c r="C472" s="27">
        <v>46317.0</v>
      </c>
      <c r="D472" s="27"/>
      <c r="E472" s="6" t="s">
        <v>97</v>
      </c>
      <c r="F472" s="6" t="s">
        <v>1359</v>
      </c>
    </row>
    <row r="473" ht="21.0" customHeight="1">
      <c r="A473" s="6" t="s">
        <v>2446</v>
      </c>
      <c r="B473" s="6" t="s">
        <v>1275</v>
      </c>
      <c r="C473" s="27">
        <v>46317.0</v>
      </c>
      <c r="D473" s="27"/>
      <c r="E473" s="6" t="s">
        <v>1389</v>
      </c>
      <c r="F473" s="6" t="s">
        <v>1359</v>
      </c>
    </row>
    <row r="474" ht="21.0" customHeight="1">
      <c r="A474" s="6" t="s">
        <v>2447</v>
      </c>
      <c r="B474" s="6" t="s">
        <v>1277</v>
      </c>
      <c r="C474" s="27">
        <v>46316.0</v>
      </c>
      <c r="D474" s="27"/>
      <c r="E474" s="6" t="s">
        <v>97</v>
      </c>
      <c r="F474" s="6" t="s">
        <v>1359</v>
      </c>
    </row>
    <row r="475" ht="21.0" customHeight="1">
      <c r="A475" s="6" t="s">
        <v>1854</v>
      </c>
      <c r="B475" s="6" t="s">
        <v>1280</v>
      </c>
      <c r="C475" s="27">
        <v>46314.0</v>
      </c>
      <c r="D475" s="27"/>
      <c r="E475" s="6" t="s">
        <v>97</v>
      </c>
      <c r="F475" s="6" t="s">
        <v>1359</v>
      </c>
    </row>
    <row r="476" ht="21.0" customHeight="1">
      <c r="A476" s="6" t="s">
        <v>2448</v>
      </c>
      <c r="B476" s="6" t="s">
        <v>1282</v>
      </c>
      <c r="C476" s="27">
        <v>46316.0</v>
      </c>
      <c r="D476" s="27"/>
      <c r="E476" s="6" t="s">
        <v>1389</v>
      </c>
      <c r="F476" s="6" t="s">
        <v>1367</v>
      </c>
    </row>
    <row r="477" ht="21.0" customHeight="1">
      <c r="A477" s="6" t="s">
        <v>2449</v>
      </c>
      <c r="B477" s="6" t="s">
        <v>1285</v>
      </c>
      <c r="C477" s="27">
        <v>46317.0</v>
      </c>
      <c r="D477" s="27"/>
      <c r="E477" s="6" t="s">
        <v>97</v>
      </c>
      <c r="F477" s="6" t="s">
        <v>1362</v>
      </c>
    </row>
    <row r="478" ht="21.0" customHeight="1">
      <c r="A478" s="6" t="s">
        <v>1860</v>
      </c>
      <c r="B478" s="6" t="s">
        <v>1287</v>
      </c>
      <c r="C478" s="27">
        <v>46315.0</v>
      </c>
      <c r="D478" s="27"/>
      <c r="E478" s="6" t="s">
        <v>97</v>
      </c>
      <c r="F478" s="6" t="s">
        <v>1362</v>
      </c>
    </row>
    <row r="479" ht="21.0" customHeight="1">
      <c r="A479" s="6" t="s">
        <v>2450</v>
      </c>
      <c r="B479" s="6" t="s">
        <v>1290</v>
      </c>
      <c r="C479" s="27">
        <v>46318.0</v>
      </c>
      <c r="D479" s="27"/>
      <c r="E479" s="6" t="s">
        <v>1389</v>
      </c>
      <c r="F479" s="6" t="s">
        <v>1367</v>
      </c>
    </row>
    <row r="480" ht="21.0" customHeight="1">
      <c r="A480" s="6" t="s">
        <v>2451</v>
      </c>
      <c r="B480" s="6" t="s">
        <v>1292</v>
      </c>
      <c r="C480" s="27">
        <v>46316.0</v>
      </c>
      <c r="D480" s="27"/>
      <c r="E480" s="6" t="s">
        <v>97</v>
      </c>
      <c r="F480" s="6" t="s">
        <v>1359</v>
      </c>
    </row>
    <row r="481" ht="21.0" customHeight="1">
      <c r="A481" s="6" t="s">
        <v>2452</v>
      </c>
      <c r="B481" s="6" t="s">
        <v>1294</v>
      </c>
      <c r="C481" s="27">
        <v>46317.0</v>
      </c>
      <c r="D481" s="27"/>
      <c r="E481" s="6" t="s">
        <v>97</v>
      </c>
      <c r="F481" s="6" t="s">
        <v>1362</v>
      </c>
    </row>
    <row r="482" ht="21.0" customHeight="1">
      <c r="A482" s="6" t="s">
        <v>2453</v>
      </c>
      <c r="B482" s="6" t="s">
        <v>1297</v>
      </c>
      <c r="C482" s="27">
        <v>46317.0</v>
      </c>
      <c r="D482" s="27"/>
      <c r="E482" s="6" t="s">
        <v>97</v>
      </c>
      <c r="F482" s="6" t="s">
        <v>1359</v>
      </c>
    </row>
    <row r="483" ht="21.0" customHeight="1">
      <c r="A483" s="6" t="s">
        <v>2454</v>
      </c>
      <c r="B483" s="6" t="s">
        <v>1299</v>
      </c>
      <c r="C483" s="27">
        <v>46316.0</v>
      </c>
      <c r="D483" s="27"/>
      <c r="E483" s="6" t="s">
        <v>1389</v>
      </c>
      <c r="F483" s="6" t="s">
        <v>1367</v>
      </c>
    </row>
    <row r="484" ht="21.0" customHeight="1">
      <c r="A484" s="6" t="s">
        <v>2455</v>
      </c>
      <c r="B484" s="6" t="s">
        <v>1302</v>
      </c>
      <c r="C484" s="27">
        <v>46319.0</v>
      </c>
      <c r="D484" s="27"/>
      <c r="E484" s="6" t="s">
        <v>1389</v>
      </c>
      <c r="F484" s="6" t="s">
        <v>1359</v>
      </c>
    </row>
    <row r="485" ht="21.0" customHeight="1">
      <c r="A485" s="6" t="s">
        <v>2456</v>
      </c>
      <c r="B485" s="6" t="s">
        <v>1304</v>
      </c>
      <c r="C485" s="27">
        <v>46317.0</v>
      </c>
      <c r="D485" s="27"/>
      <c r="E485" s="6" t="s">
        <v>97</v>
      </c>
      <c r="F485" s="6" t="s">
        <v>1359</v>
      </c>
    </row>
    <row r="486" ht="21.0" customHeight="1">
      <c r="A486" s="6" t="s">
        <v>2457</v>
      </c>
      <c r="B486" s="6" t="s">
        <v>1306</v>
      </c>
      <c r="C486" s="27">
        <v>46317.0</v>
      </c>
      <c r="D486" s="27"/>
      <c r="E486" s="6" t="s">
        <v>1389</v>
      </c>
      <c r="F486" s="6" t="s">
        <v>1367</v>
      </c>
    </row>
    <row r="487" ht="21.0" customHeight="1">
      <c r="A487" s="6" t="s">
        <v>2458</v>
      </c>
      <c r="B487" s="6" t="s">
        <v>1309</v>
      </c>
      <c r="C487" s="27">
        <v>46318.0</v>
      </c>
      <c r="D487" s="27"/>
      <c r="E487" s="6" t="s">
        <v>97</v>
      </c>
      <c r="F487" s="6" t="s">
        <v>1359</v>
      </c>
    </row>
    <row r="488" ht="21.0" customHeight="1">
      <c r="A488" s="6" t="s">
        <v>2459</v>
      </c>
      <c r="B488" s="6" t="s">
        <v>1311</v>
      </c>
      <c r="C488" s="27">
        <v>46318.0</v>
      </c>
      <c r="D488" s="27"/>
      <c r="E488" s="6" t="s">
        <v>97</v>
      </c>
      <c r="F488" s="6" t="s">
        <v>1367</v>
      </c>
    </row>
    <row r="489" ht="21.0" customHeight="1">
      <c r="A489" s="6" t="s">
        <v>2460</v>
      </c>
      <c r="B489" s="6" t="s">
        <v>1314</v>
      </c>
      <c r="C489" s="27">
        <v>46316.0</v>
      </c>
      <c r="D489" s="27"/>
      <c r="E489" s="6" t="s">
        <v>97</v>
      </c>
      <c r="F489" s="6" t="s">
        <v>1367</v>
      </c>
    </row>
    <row r="490" ht="21.0" customHeight="1">
      <c r="A490" s="6" t="s">
        <v>2461</v>
      </c>
      <c r="B490" s="6" t="s">
        <v>1316</v>
      </c>
      <c r="C490" s="27">
        <v>46319.0</v>
      </c>
      <c r="D490" s="27"/>
      <c r="E490" s="6" t="s">
        <v>97</v>
      </c>
      <c r="F490" s="6" t="s">
        <v>1359</v>
      </c>
    </row>
    <row r="491" ht="21.0" customHeight="1">
      <c r="A491" s="6" t="s">
        <v>2462</v>
      </c>
      <c r="B491" s="6" t="s">
        <v>1319</v>
      </c>
      <c r="C491" s="27">
        <v>46318.0</v>
      </c>
      <c r="D491" s="27"/>
      <c r="E491" s="6" t="s">
        <v>97</v>
      </c>
      <c r="F491" s="6" t="s">
        <v>1359</v>
      </c>
    </row>
    <row r="492" ht="21.0" customHeight="1">
      <c r="A492" s="6" t="s">
        <v>2463</v>
      </c>
      <c r="B492" s="6" t="s">
        <v>1321</v>
      </c>
      <c r="C492" s="27">
        <v>46317.0</v>
      </c>
      <c r="D492" s="27"/>
      <c r="E492" s="6" t="s">
        <v>1389</v>
      </c>
      <c r="F492" s="6" t="s">
        <v>1362</v>
      </c>
    </row>
    <row r="493" ht="21.0" customHeight="1">
      <c r="A493" s="6" t="s">
        <v>1864</v>
      </c>
      <c r="B493" s="6" t="s">
        <v>1323</v>
      </c>
      <c r="C493" s="27">
        <v>46314.0</v>
      </c>
      <c r="D493" s="27"/>
      <c r="E493" s="6" t="s">
        <v>1389</v>
      </c>
      <c r="F493" s="6" t="s">
        <v>1359</v>
      </c>
    </row>
    <row r="494" ht="21.0" customHeight="1">
      <c r="A494" s="6" t="s">
        <v>2464</v>
      </c>
      <c r="B494" s="6" t="s">
        <v>1326</v>
      </c>
      <c r="C494" s="27">
        <v>46318.0</v>
      </c>
      <c r="D494" s="27"/>
      <c r="E494" s="6" t="s">
        <v>1389</v>
      </c>
      <c r="F494" s="6" t="s">
        <v>1367</v>
      </c>
    </row>
    <row r="495" ht="21.0" customHeight="1">
      <c r="A495" s="6" t="s">
        <v>2465</v>
      </c>
      <c r="B495" s="6" t="s">
        <v>1328</v>
      </c>
      <c r="C495" s="27">
        <v>46319.0</v>
      </c>
      <c r="D495" s="27"/>
      <c r="E495" s="6" t="s">
        <v>97</v>
      </c>
      <c r="F495" s="6" t="s">
        <v>1367</v>
      </c>
    </row>
    <row r="496" ht="21.0" customHeight="1">
      <c r="A496" s="6" t="s">
        <v>2466</v>
      </c>
      <c r="B496" s="6" t="s">
        <v>1331</v>
      </c>
      <c r="C496" s="27">
        <v>46321.0</v>
      </c>
      <c r="D496" s="27"/>
      <c r="E496" s="6" t="s">
        <v>97</v>
      </c>
      <c r="F496" s="6" t="s">
        <v>1362</v>
      </c>
    </row>
    <row r="497" ht="21.0" customHeight="1">
      <c r="A497" s="6" t="s">
        <v>2467</v>
      </c>
      <c r="B497" s="6" t="s">
        <v>1333</v>
      </c>
      <c r="C497" s="27">
        <v>46321.0</v>
      </c>
      <c r="D497" s="27"/>
      <c r="E497" s="6" t="s">
        <v>1389</v>
      </c>
      <c r="F497" s="6" t="s">
        <v>1362</v>
      </c>
    </row>
    <row r="498" ht="21.0" customHeight="1">
      <c r="A498" s="6" t="s">
        <v>2468</v>
      </c>
      <c r="B498" s="6" t="s">
        <v>1336</v>
      </c>
      <c r="C498" s="27">
        <v>46321.0</v>
      </c>
      <c r="D498" s="27"/>
      <c r="E498" s="6" t="s">
        <v>1389</v>
      </c>
      <c r="F498" s="6" t="s">
        <v>1367</v>
      </c>
    </row>
    <row r="499" ht="21.0" customHeight="1">
      <c r="A499" s="6" t="s">
        <v>2469</v>
      </c>
      <c r="B499" s="6" t="s">
        <v>1338</v>
      </c>
      <c r="C499" s="27">
        <v>46320.0</v>
      </c>
      <c r="D499" s="27"/>
      <c r="E499" s="6" t="s">
        <v>97</v>
      </c>
      <c r="F499" s="6" t="s">
        <v>1359</v>
      </c>
    </row>
    <row r="500" ht="21.0" customHeight="1">
      <c r="A500" s="6" t="s">
        <v>2470</v>
      </c>
      <c r="B500" s="6" t="s">
        <v>1340</v>
      </c>
      <c r="C500" s="27">
        <v>46321.0</v>
      </c>
      <c r="D500" s="27"/>
      <c r="E500" s="6" t="s">
        <v>97</v>
      </c>
      <c r="F500" s="6" t="s">
        <v>1362</v>
      </c>
    </row>
    <row r="501" ht="21.0" customHeight="1">
      <c r="A501" s="6" t="s">
        <v>2471</v>
      </c>
      <c r="B501" s="6" t="s">
        <v>1343</v>
      </c>
      <c r="C501" s="27">
        <v>46321.0</v>
      </c>
      <c r="D501" s="27"/>
      <c r="E501" s="6" t="s">
        <v>97</v>
      </c>
      <c r="F501" s="6" t="s">
        <v>1367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7.0"/>
    <col customWidth="1" min="3" max="3" width="23.0"/>
    <col customWidth="1" min="4" max="4" width="16.0"/>
    <col customWidth="1" min="5" max="5" width="15.0"/>
    <col customWidth="1" min="6" max="6" width="24.0"/>
    <col customWidth="1" min="7" max="7" width="19.0"/>
    <col customWidth="1" min="8" max="8" width="25.0"/>
    <col customWidth="1" min="9" max="26" width="8.63"/>
  </cols>
  <sheetData>
    <row r="1" ht="28.5" customHeight="1">
      <c r="A1" s="2" t="s">
        <v>1476</v>
      </c>
      <c r="B1" s="2" t="s">
        <v>2</v>
      </c>
      <c r="C1" s="2" t="s">
        <v>9</v>
      </c>
      <c r="D1" s="2" t="s">
        <v>1479</v>
      </c>
      <c r="E1" s="2" t="s">
        <v>1480</v>
      </c>
      <c r="F1" s="2" t="s">
        <v>1482</v>
      </c>
      <c r="G1" s="2" t="s">
        <v>1483</v>
      </c>
      <c r="H1" s="2" t="s">
        <v>1484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 t="s">
        <v>1489</v>
      </c>
      <c r="B2" s="6" t="s">
        <v>475</v>
      </c>
      <c r="C2" s="8">
        <v>46305.07708333333</v>
      </c>
      <c r="D2" s="6" t="s">
        <v>1492</v>
      </c>
      <c r="E2" s="6">
        <v>24.0</v>
      </c>
      <c r="F2" s="8">
        <v>46305.57708333333</v>
      </c>
      <c r="G2" s="6" t="s">
        <v>1493</v>
      </c>
      <c r="H2" s="6" t="s">
        <v>1495</v>
      </c>
    </row>
    <row r="3" ht="21.0" customHeight="1">
      <c r="A3" s="6" t="s">
        <v>1496</v>
      </c>
      <c r="B3" s="6" t="s">
        <v>262</v>
      </c>
      <c r="C3" s="8">
        <v>46305.15416666667</v>
      </c>
      <c r="D3" s="6" t="s">
        <v>1492</v>
      </c>
      <c r="E3" s="6">
        <v>24.0</v>
      </c>
      <c r="F3" s="8">
        <v>46305.65416666667</v>
      </c>
      <c r="G3" s="6" t="s">
        <v>1493</v>
      </c>
      <c r="H3" s="6" t="s">
        <v>1498</v>
      </c>
    </row>
    <row r="4" ht="21.0" customHeight="1">
      <c r="A4" s="6" t="s">
        <v>1500</v>
      </c>
      <c r="B4" s="6" t="s">
        <v>1092</v>
      </c>
      <c r="C4" s="8">
        <v>46305.23125</v>
      </c>
      <c r="D4" s="6" t="s">
        <v>1502</v>
      </c>
      <c r="E4" s="6">
        <v>12.0</v>
      </c>
      <c r="F4" s="8">
        <v>46305.48125</v>
      </c>
      <c r="G4" s="6" t="s">
        <v>1493</v>
      </c>
      <c r="H4" s="6" t="s">
        <v>1495</v>
      </c>
    </row>
    <row r="5" ht="21.0" customHeight="1">
      <c r="A5" s="6" t="s">
        <v>1504</v>
      </c>
      <c r="B5" s="6" t="s">
        <v>1166</v>
      </c>
      <c r="C5" s="8">
        <v>46305.308333333334</v>
      </c>
      <c r="D5" s="6" t="s">
        <v>1492</v>
      </c>
      <c r="E5" s="6">
        <v>24.0</v>
      </c>
      <c r="F5" s="8">
        <v>46305.808333333334</v>
      </c>
      <c r="G5" s="6" t="s">
        <v>1493</v>
      </c>
      <c r="H5" s="6" t="s">
        <v>1498</v>
      </c>
    </row>
    <row r="6" ht="21.0" customHeight="1">
      <c r="A6" s="6" t="s">
        <v>1507</v>
      </c>
      <c r="B6" s="6" t="s">
        <v>590</v>
      </c>
      <c r="C6" s="8">
        <v>46305.385416666664</v>
      </c>
      <c r="D6" s="6" t="s">
        <v>1502</v>
      </c>
      <c r="E6" s="6">
        <v>12.0</v>
      </c>
      <c r="F6" s="8">
        <v>46305.635416666664</v>
      </c>
      <c r="G6" s="6" t="s">
        <v>1493</v>
      </c>
      <c r="H6" s="6" t="s">
        <v>1495</v>
      </c>
    </row>
    <row r="7" ht="21.0" customHeight="1">
      <c r="A7" s="6" t="s">
        <v>1510</v>
      </c>
      <c r="B7" s="6" t="s">
        <v>426</v>
      </c>
      <c r="C7" s="8">
        <v>46305.4625</v>
      </c>
      <c r="D7" s="6" t="s">
        <v>1502</v>
      </c>
      <c r="E7" s="6">
        <v>12.0</v>
      </c>
      <c r="F7" s="8">
        <v>46306.17083333333</v>
      </c>
      <c r="G7" s="6" t="s">
        <v>1493</v>
      </c>
      <c r="H7" s="6" t="s">
        <v>1495</v>
      </c>
    </row>
    <row r="8" ht="21.0" customHeight="1">
      <c r="A8" s="6" t="s">
        <v>1513</v>
      </c>
      <c r="B8" s="6" t="s">
        <v>316</v>
      </c>
      <c r="C8" s="8">
        <v>46305.53958333333</v>
      </c>
      <c r="D8" s="6" t="s">
        <v>1502</v>
      </c>
      <c r="E8" s="6">
        <v>12.0</v>
      </c>
      <c r="F8" s="8"/>
      <c r="G8" s="6" t="s">
        <v>1515</v>
      </c>
      <c r="H8" s="6" t="s">
        <v>1495</v>
      </c>
    </row>
    <row r="9" ht="21.0" customHeight="1">
      <c r="A9" s="6" t="s">
        <v>1516</v>
      </c>
      <c r="B9" s="6" t="s">
        <v>1229</v>
      </c>
      <c r="C9" s="8">
        <v>46305.61666666667</v>
      </c>
      <c r="D9" s="6" t="s">
        <v>1519</v>
      </c>
      <c r="E9" s="6">
        <v>4.0</v>
      </c>
      <c r="F9" s="8">
        <v>46305.7</v>
      </c>
      <c r="G9" s="6" t="s">
        <v>1493</v>
      </c>
      <c r="H9" s="6" t="s">
        <v>1520</v>
      </c>
    </row>
    <row r="10" ht="21.0" customHeight="1">
      <c r="A10" s="6" t="s">
        <v>1522</v>
      </c>
      <c r="B10" s="6" t="s">
        <v>712</v>
      </c>
      <c r="C10" s="8">
        <v>46305.69375</v>
      </c>
      <c r="D10" s="6" t="s">
        <v>1492</v>
      </c>
      <c r="E10" s="6">
        <v>24.0</v>
      </c>
      <c r="F10" s="8">
        <v>46306.19375</v>
      </c>
      <c r="G10" s="6" t="s">
        <v>1493</v>
      </c>
      <c r="H10" s="6" t="s">
        <v>1524</v>
      </c>
    </row>
    <row r="11" ht="21.0" customHeight="1">
      <c r="A11" s="6" t="s">
        <v>1526</v>
      </c>
      <c r="B11" s="6" t="s">
        <v>406</v>
      </c>
      <c r="C11" s="8">
        <v>46305.770833333336</v>
      </c>
      <c r="D11" s="6" t="s">
        <v>1519</v>
      </c>
      <c r="E11" s="6">
        <v>4.0</v>
      </c>
      <c r="F11" s="8">
        <v>46305.854166666664</v>
      </c>
      <c r="G11" s="6" t="s">
        <v>1493</v>
      </c>
      <c r="H11" s="6" t="s">
        <v>1498</v>
      </c>
    </row>
    <row r="12" ht="21.0" customHeight="1">
      <c r="A12" s="6" t="s">
        <v>1528</v>
      </c>
      <c r="B12" s="6" t="s">
        <v>527</v>
      </c>
      <c r="C12" s="8">
        <v>46305.847916666666</v>
      </c>
      <c r="D12" s="6" t="s">
        <v>1492</v>
      </c>
      <c r="E12" s="6">
        <v>24.0</v>
      </c>
      <c r="F12" s="8"/>
      <c r="G12" s="6" t="s">
        <v>1515</v>
      </c>
      <c r="H12" s="6" t="s">
        <v>1524</v>
      </c>
    </row>
    <row r="13" ht="21.0" customHeight="1">
      <c r="A13" s="6" t="s">
        <v>1531</v>
      </c>
      <c r="B13" s="6" t="s">
        <v>50</v>
      </c>
      <c r="C13" s="8">
        <v>46305.925</v>
      </c>
      <c r="D13" s="6" t="s">
        <v>1502</v>
      </c>
      <c r="E13" s="6">
        <v>12.0</v>
      </c>
      <c r="F13" s="8">
        <v>46306.63333333333</v>
      </c>
      <c r="G13" s="6" t="s">
        <v>1493</v>
      </c>
      <c r="H13" s="6" t="s">
        <v>1495</v>
      </c>
    </row>
    <row r="14" ht="21.0" customHeight="1">
      <c r="A14" s="6" t="s">
        <v>1534</v>
      </c>
      <c r="B14" s="6" t="s">
        <v>942</v>
      </c>
      <c r="C14" s="8">
        <v>46306.00208333333</v>
      </c>
      <c r="D14" s="6" t="s">
        <v>1492</v>
      </c>
      <c r="E14" s="6">
        <v>24.0</v>
      </c>
      <c r="F14" s="8">
        <v>46306.50208333333</v>
      </c>
      <c r="G14" s="6" t="s">
        <v>1493</v>
      </c>
      <c r="H14" s="6" t="s">
        <v>1524</v>
      </c>
    </row>
    <row r="15" ht="21.0" customHeight="1">
      <c r="A15" s="6" t="s">
        <v>1537</v>
      </c>
      <c r="B15" s="6" t="s">
        <v>330</v>
      </c>
      <c r="C15" s="8">
        <v>46306.07916666667</v>
      </c>
      <c r="D15" s="6" t="s">
        <v>1502</v>
      </c>
      <c r="E15" s="6">
        <v>12.0</v>
      </c>
      <c r="F15" s="8"/>
      <c r="G15" s="6" t="s">
        <v>1515</v>
      </c>
      <c r="H15" s="6" t="s">
        <v>1524</v>
      </c>
    </row>
    <row r="16" ht="21.0" customHeight="1">
      <c r="A16" s="6" t="s">
        <v>1543</v>
      </c>
      <c r="B16" s="6" t="s">
        <v>997</v>
      </c>
      <c r="C16" s="8">
        <v>46306.15625</v>
      </c>
      <c r="D16" s="6" t="s">
        <v>1502</v>
      </c>
      <c r="E16" s="6">
        <v>12.0</v>
      </c>
      <c r="F16" s="8">
        <v>46306.40625</v>
      </c>
      <c r="G16" s="6" t="s">
        <v>1493</v>
      </c>
      <c r="H16" s="6" t="s">
        <v>1524</v>
      </c>
    </row>
    <row r="17" ht="21.0" customHeight="1">
      <c r="A17" s="6" t="s">
        <v>1545</v>
      </c>
      <c r="B17" s="6" t="s">
        <v>1166</v>
      </c>
      <c r="C17" s="8">
        <v>46306.23333333333</v>
      </c>
      <c r="D17" s="6" t="s">
        <v>1492</v>
      </c>
      <c r="E17" s="6">
        <v>24.0</v>
      </c>
      <c r="F17" s="8">
        <v>46306.73333333333</v>
      </c>
      <c r="G17" s="6" t="s">
        <v>1493</v>
      </c>
      <c r="H17" s="6" t="s">
        <v>1495</v>
      </c>
    </row>
    <row r="18" ht="21.0" customHeight="1">
      <c r="A18" s="6" t="s">
        <v>1548</v>
      </c>
      <c r="B18" s="6" t="s">
        <v>852</v>
      </c>
      <c r="C18" s="8">
        <v>46306.31041666667</v>
      </c>
      <c r="D18" s="6" t="s">
        <v>1502</v>
      </c>
      <c r="E18" s="6">
        <v>12.0</v>
      </c>
      <c r="F18" s="8">
        <v>46306.56041666667</v>
      </c>
      <c r="G18" s="6" t="s">
        <v>1493</v>
      </c>
      <c r="H18" s="6" t="s">
        <v>1495</v>
      </c>
    </row>
    <row r="19" ht="21.0" customHeight="1">
      <c r="A19" s="6" t="s">
        <v>1551</v>
      </c>
      <c r="B19" s="6" t="s">
        <v>1054</v>
      </c>
      <c r="C19" s="8">
        <v>46306.3875</v>
      </c>
      <c r="D19" s="6" t="s">
        <v>1492</v>
      </c>
      <c r="E19" s="6">
        <v>24.0</v>
      </c>
      <c r="F19" s="8">
        <v>46307.59583333333</v>
      </c>
      <c r="G19" s="6" t="s">
        <v>1493</v>
      </c>
      <c r="H19" s="6" t="s">
        <v>1498</v>
      </c>
    </row>
    <row r="20" ht="21.0" customHeight="1">
      <c r="A20" s="6" t="s">
        <v>1555</v>
      </c>
      <c r="B20" s="6" t="s">
        <v>1340</v>
      </c>
      <c r="C20" s="8">
        <v>46306.464583333334</v>
      </c>
      <c r="D20" s="6" t="s">
        <v>1519</v>
      </c>
      <c r="E20" s="6">
        <v>4.0</v>
      </c>
      <c r="F20" s="8">
        <v>46306.54791666667</v>
      </c>
      <c r="G20" s="6" t="s">
        <v>1493</v>
      </c>
      <c r="H20" s="6" t="s">
        <v>1498</v>
      </c>
    </row>
    <row r="21" ht="21.0" customHeight="1">
      <c r="A21" s="6" t="s">
        <v>1557</v>
      </c>
      <c r="B21" s="6" t="s">
        <v>341</v>
      </c>
      <c r="C21" s="8">
        <v>46306.541666666664</v>
      </c>
      <c r="D21" s="6" t="s">
        <v>1519</v>
      </c>
      <c r="E21" s="6">
        <v>4.0</v>
      </c>
      <c r="F21" s="8">
        <v>46306.625</v>
      </c>
      <c r="G21" s="6" t="s">
        <v>1493</v>
      </c>
      <c r="H21" s="6" t="s">
        <v>1520</v>
      </c>
    </row>
    <row r="22" ht="21.0" customHeight="1">
      <c r="A22" s="6" t="s">
        <v>1561</v>
      </c>
      <c r="B22" s="6" t="s">
        <v>918</v>
      </c>
      <c r="C22" s="8">
        <v>46306.61875</v>
      </c>
      <c r="D22" s="6" t="s">
        <v>1502</v>
      </c>
      <c r="E22" s="6">
        <v>12.0</v>
      </c>
      <c r="F22" s="8"/>
      <c r="G22" s="6" t="s">
        <v>1515</v>
      </c>
      <c r="H22" s="6" t="s">
        <v>1524</v>
      </c>
    </row>
    <row r="23" ht="21.0" customHeight="1">
      <c r="A23" s="6" t="s">
        <v>1564</v>
      </c>
      <c r="B23" s="6" t="s">
        <v>567</v>
      </c>
      <c r="C23" s="8">
        <v>46306.69583333333</v>
      </c>
      <c r="D23" s="6" t="s">
        <v>1502</v>
      </c>
      <c r="E23" s="6">
        <v>12.0</v>
      </c>
      <c r="F23" s="8"/>
      <c r="G23" s="6" t="s">
        <v>1515</v>
      </c>
      <c r="H23" s="6" t="s">
        <v>1520</v>
      </c>
    </row>
    <row r="24" ht="21.0" customHeight="1">
      <c r="A24" s="6" t="s">
        <v>1566</v>
      </c>
      <c r="B24" s="6" t="s">
        <v>237</v>
      </c>
      <c r="C24" s="8">
        <v>46306.77291666667</v>
      </c>
      <c r="D24" s="6" t="s">
        <v>1502</v>
      </c>
      <c r="E24" s="6">
        <v>12.0</v>
      </c>
      <c r="F24" s="8">
        <v>46307.02291666667</v>
      </c>
      <c r="G24" s="6" t="s">
        <v>1493</v>
      </c>
      <c r="H24" s="6" t="s">
        <v>1520</v>
      </c>
    </row>
    <row r="25" ht="21.0" customHeight="1">
      <c r="A25" s="6" t="s">
        <v>1570</v>
      </c>
      <c r="B25" s="6" t="s">
        <v>618</v>
      </c>
      <c r="C25" s="8">
        <v>46306.85</v>
      </c>
      <c r="D25" s="6" t="s">
        <v>1502</v>
      </c>
      <c r="E25" s="6">
        <v>12.0</v>
      </c>
      <c r="F25" s="8">
        <v>46307.558333333334</v>
      </c>
      <c r="G25" s="6" t="s">
        <v>1493</v>
      </c>
      <c r="H25" s="6" t="s">
        <v>1495</v>
      </c>
    </row>
    <row r="26" ht="21.0" customHeight="1">
      <c r="A26" s="6" t="s">
        <v>1572</v>
      </c>
      <c r="B26" s="6" t="s">
        <v>1224</v>
      </c>
      <c r="C26" s="8">
        <v>46306.927083333336</v>
      </c>
      <c r="D26" s="6" t="s">
        <v>1519</v>
      </c>
      <c r="E26" s="6">
        <v>4.0</v>
      </c>
      <c r="F26" s="8">
        <v>46307.010416666664</v>
      </c>
      <c r="G26" s="6" t="s">
        <v>1493</v>
      </c>
      <c r="H26" s="6" t="s">
        <v>1498</v>
      </c>
    </row>
    <row r="27" ht="21.0" customHeight="1">
      <c r="A27" s="6" t="s">
        <v>1575</v>
      </c>
      <c r="B27" s="6" t="s">
        <v>1066</v>
      </c>
      <c r="C27" s="8">
        <v>46307.004166666666</v>
      </c>
      <c r="D27" s="6" t="s">
        <v>1502</v>
      </c>
      <c r="E27" s="6">
        <v>12.0</v>
      </c>
      <c r="F27" s="8">
        <v>46307.254166666666</v>
      </c>
      <c r="G27" s="6" t="s">
        <v>1493</v>
      </c>
      <c r="H27" s="6" t="s">
        <v>1524</v>
      </c>
    </row>
    <row r="28" ht="21.0" customHeight="1">
      <c r="A28" s="6" t="s">
        <v>1578</v>
      </c>
      <c r="B28" s="6" t="s">
        <v>95</v>
      </c>
      <c r="C28" s="8">
        <v>46307.08125</v>
      </c>
      <c r="D28" s="6" t="s">
        <v>1502</v>
      </c>
      <c r="E28" s="6">
        <v>12.0</v>
      </c>
      <c r="F28" s="8">
        <v>46307.33125</v>
      </c>
      <c r="G28" s="6" t="s">
        <v>1493</v>
      </c>
      <c r="H28" s="6" t="s">
        <v>1498</v>
      </c>
    </row>
    <row r="29" ht="21.0" customHeight="1">
      <c r="A29" s="6" t="s">
        <v>1582</v>
      </c>
      <c r="B29" s="6" t="s">
        <v>1314</v>
      </c>
      <c r="C29" s="8">
        <v>46307.15833333333</v>
      </c>
      <c r="D29" s="6" t="s">
        <v>1502</v>
      </c>
      <c r="E29" s="6">
        <v>12.0</v>
      </c>
      <c r="F29" s="8"/>
      <c r="G29" s="6" t="s">
        <v>1515</v>
      </c>
      <c r="H29" s="6" t="s">
        <v>1524</v>
      </c>
    </row>
    <row r="30" ht="21.0" customHeight="1">
      <c r="A30" s="6" t="s">
        <v>1591</v>
      </c>
      <c r="B30" s="6" t="s">
        <v>741</v>
      </c>
      <c r="C30" s="8">
        <v>46307.23541666667</v>
      </c>
      <c r="D30" s="6" t="s">
        <v>1492</v>
      </c>
      <c r="E30" s="6">
        <v>24.0</v>
      </c>
      <c r="F30" s="8">
        <v>46307.73541666667</v>
      </c>
      <c r="G30" s="6" t="s">
        <v>1493</v>
      </c>
      <c r="H30" s="6" t="s">
        <v>1524</v>
      </c>
    </row>
    <row r="31" ht="21.0" customHeight="1">
      <c r="A31" s="6" t="s">
        <v>1595</v>
      </c>
      <c r="B31" s="6" t="s">
        <v>41</v>
      </c>
      <c r="C31" s="8">
        <v>46307.3125</v>
      </c>
      <c r="D31" s="6" t="s">
        <v>1502</v>
      </c>
      <c r="E31" s="6">
        <v>12.0</v>
      </c>
      <c r="F31" s="8">
        <v>46308.020833333336</v>
      </c>
      <c r="G31" s="6" t="s">
        <v>1493</v>
      </c>
      <c r="H31" s="6" t="s">
        <v>1495</v>
      </c>
    </row>
    <row r="32" ht="21.0" customHeight="1">
      <c r="A32" s="6" t="s">
        <v>1598</v>
      </c>
      <c r="B32" s="6" t="s">
        <v>899</v>
      </c>
      <c r="C32" s="8">
        <v>46307.38958333333</v>
      </c>
      <c r="D32" s="6" t="s">
        <v>1519</v>
      </c>
      <c r="E32" s="6">
        <v>4.0</v>
      </c>
      <c r="F32" s="8">
        <v>46307.472916666666</v>
      </c>
      <c r="G32" s="6" t="s">
        <v>1493</v>
      </c>
      <c r="H32" s="6" t="s">
        <v>1520</v>
      </c>
    </row>
    <row r="33" ht="21.0" customHeight="1">
      <c r="A33" s="6" t="s">
        <v>1604</v>
      </c>
      <c r="B33" s="6" t="s">
        <v>1190</v>
      </c>
      <c r="C33" s="8">
        <v>46307.46666666667</v>
      </c>
      <c r="D33" s="6" t="s">
        <v>1519</v>
      </c>
      <c r="E33" s="6">
        <v>4.0</v>
      </c>
      <c r="F33" s="8">
        <v>46307.55</v>
      </c>
      <c r="G33" s="6" t="s">
        <v>1493</v>
      </c>
      <c r="H33" s="6" t="s">
        <v>1495</v>
      </c>
    </row>
    <row r="34" ht="21.0" customHeight="1">
      <c r="A34" s="6" t="s">
        <v>1607</v>
      </c>
      <c r="B34" s="6" t="s">
        <v>1063</v>
      </c>
      <c r="C34" s="8">
        <v>46307.54375</v>
      </c>
      <c r="D34" s="6" t="s">
        <v>1502</v>
      </c>
      <c r="E34" s="6">
        <v>12.0</v>
      </c>
      <c r="F34" s="8"/>
      <c r="G34" s="6" t="s">
        <v>1515</v>
      </c>
      <c r="H34" s="6" t="s">
        <v>1520</v>
      </c>
    </row>
    <row r="35" ht="21.0" customHeight="1">
      <c r="A35" s="6" t="s">
        <v>1611</v>
      </c>
      <c r="B35" s="6" t="s">
        <v>862</v>
      </c>
      <c r="C35" s="8">
        <v>46307.620833333334</v>
      </c>
      <c r="D35" s="6" t="s">
        <v>1492</v>
      </c>
      <c r="E35" s="6">
        <v>24.0</v>
      </c>
      <c r="F35" s="8">
        <v>46308.120833333334</v>
      </c>
      <c r="G35" s="6" t="s">
        <v>1493</v>
      </c>
      <c r="H35" s="6" t="s">
        <v>1524</v>
      </c>
    </row>
    <row r="36" ht="21.0" customHeight="1">
      <c r="A36" s="6" t="s">
        <v>1616</v>
      </c>
      <c r="B36" s="6" t="s">
        <v>1261</v>
      </c>
      <c r="C36" s="8">
        <v>46307.697916666664</v>
      </c>
      <c r="D36" s="6" t="s">
        <v>1492</v>
      </c>
      <c r="E36" s="6">
        <v>24.0</v>
      </c>
      <c r="F36" s="8"/>
      <c r="G36" s="6" t="s">
        <v>1515</v>
      </c>
      <c r="H36" s="6" t="s">
        <v>1524</v>
      </c>
    </row>
    <row r="37" ht="21.0" customHeight="1">
      <c r="A37" s="6" t="s">
        <v>1618</v>
      </c>
      <c r="B37" s="6" t="s">
        <v>519</v>
      </c>
      <c r="C37" s="8">
        <v>46307.775</v>
      </c>
      <c r="D37" s="6" t="s">
        <v>1519</v>
      </c>
      <c r="E37" s="6">
        <v>4.0</v>
      </c>
      <c r="F37" s="8">
        <v>46308.15</v>
      </c>
      <c r="G37" s="6" t="s">
        <v>1493</v>
      </c>
      <c r="H37" s="6" t="s">
        <v>1524</v>
      </c>
    </row>
    <row r="38" ht="21.0" customHeight="1">
      <c r="A38" s="6" t="s">
        <v>1623</v>
      </c>
      <c r="B38" s="6" t="s">
        <v>845</v>
      </c>
      <c r="C38" s="8">
        <v>46307.85208333333</v>
      </c>
      <c r="D38" s="6" t="s">
        <v>1492</v>
      </c>
      <c r="E38" s="6">
        <v>24.0</v>
      </c>
      <c r="F38" s="8">
        <v>46308.35208333333</v>
      </c>
      <c r="G38" s="6" t="s">
        <v>1493</v>
      </c>
      <c r="H38" s="6" t="s">
        <v>1520</v>
      </c>
    </row>
    <row r="39" ht="21.0" customHeight="1">
      <c r="A39" s="6" t="s">
        <v>1628</v>
      </c>
      <c r="B39" s="6" t="s">
        <v>346</v>
      </c>
      <c r="C39" s="8">
        <v>46307.92916666667</v>
      </c>
      <c r="D39" s="6" t="s">
        <v>1519</v>
      </c>
      <c r="E39" s="6">
        <v>4.0</v>
      </c>
      <c r="F39" s="8">
        <v>46308.0125</v>
      </c>
      <c r="G39" s="6" t="s">
        <v>1493</v>
      </c>
      <c r="H39" s="6" t="s">
        <v>1524</v>
      </c>
    </row>
    <row r="40" ht="21.0" customHeight="1">
      <c r="A40" s="6" t="s">
        <v>1631</v>
      </c>
      <c r="B40" s="6" t="s">
        <v>536</v>
      </c>
      <c r="C40" s="8">
        <v>46308.00625</v>
      </c>
      <c r="D40" s="6" t="s">
        <v>1492</v>
      </c>
      <c r="E40" s="6">
        <v>24.0</v>
      </c>
      <c r="F40" s="8">
        <v>46308.50625</v>
      </c>
      <c r="G40" s="6" t="s">
        <v>1493</v>
      </c>
      <c r="H40" s="6" t="s">
        <v>1498</v>
      </c>
    </row>
    <row r="41" ht="21.0" customHeight="1">
      <c r="A41" s="6" t="s">
        <v>1636</v>
      </c>
      <c r="B41" s="6" t="s">
        <v>1068</v>
      </c>
      <c r="C41" s="8">
        <v>46308.083333333336</v>
      </c>
      <c r="D41" s="6" t="s">
        <v>1502</v>
      </c>
      <c r="E41" s="6">
        <v>12.0</v>
      </c>
      <c r="F41" s="8">
        <v>46308.333333333336</v>
      </c>
      <c r="G41" s="6" t="s">
        <v>1493</v>
      </c>
      <c r="H41" s="6" t="s">
        <v>1498</v>
      </c>
    </row>
    <row r="42" ht="21.0" customHeight="1">
      <c r="A42" s="6" t="s">
        <v>1640</v>
      </c>
      <c r="B42" s="6" t="s">
        <v>1120</v>
      </c>
      <c r="C42" s="8">
        <v>46308.160416666666</v>
      </c>
      <c r="D42" s="6" t="s">
        <v>1502</v>
      </c>
      <c r="E42" s="6">
        <v>12.0</v>
      </c>
      <c r="F42" s="8">
        <v>46308.410416666666</v>
      </c>
      <c r="G42" s="6" t="s">
        <v>1493</v>
      </c>
      <c r="H42" s="6" t="s">
        <v>1524</v>
      </c>
    </row>
    <row r="43" ht="21.0" customHeight="1">
      <c r="A43" s="6" t="s">
        <v>1645</v>
      </c>
      <c r="B43" s="6" t="s">
        <v>809</v>
      </c>
      <c r="C43" s="8">
        <v>46308.2375</v>
      </c>
      <c r="D43" s="6" t="s">
        <v>1519</v>
      </c>
      <c r="E43" s="6">
        <v>4.0</v>
      </c>
      <c r="F43" s="8"/>
      <c r="G43" s="6" t="s">
        <v>1515</v>
      </c>
      <c r="H43" s="6" t="s">
        <v>1495</v>
      </c>
    </row>
    <row r="44" ht="21.0" customHeight="1">
      <c r="A44" s="6" t="s">
        <v>1648</v>
      </c>
      <c r="B44" s="6" t="s">
        <v>1015</v>
      </c>
      <c r="C44" s="8">
        <v>46308.31458333333</v>
      </c>
      <c r="D44" s="6" t="s">
        <v>1502</v>
      </c>
      <c r="E44" s="6">
        <v>12.0</v>
      </c>
      <c r="F44" s="8">
        <v>46308.56458333333</v>
      </c>
      <c r="G44" s="6" t="s">
        <v>1493</v>
      </c>
      <c r="H44" s="6" t="s">
        <v>1520</v>
      </c>
    </row>
    <row r="45" ht="21.0" customHeight="1">
      <c r="A45" s="6" t="s">
        <v>1652</v>
      </c>
      <c r="B45" s="6" t="s">
        <v>837</v>
      </c>
      <c r="C45" s="8">
        <v>46308.39166666667</v>
      </c>
      <c r="D45" s="6" t="s">
        <v>1502</v>
      </c>
      <c r="E45" s="6">
        <v>12.0</v>
      </c>
      <c r="F45" s="8"/>
      <c r="G45" s="6" t="s">
        <v>1515</v>
      </c>
      <c r="H45" s="6" t="s">
        <v>1498</v>
      </c>
    </row>
    <row r="46" ht="21.0" customHeight="1">
      <c r="A46" s="6" t="s">
        <v>1658</v>
      </c>
      <c r="B46" s="6" t="s">
        <v>1190</v>
      </c>
      <c r="C46" s="8">
        <v>46308.46875</v>
      </c>
      <c r="D46" s="6" t="s">
        <v>1502</v>
      </c>
      <c r="E46" s="6">
        <v>12.0</v>
      </c>
      <c r="F46" s="8">
        <v>46308.71875</v>
      </c>
      <c r="G46" s="6" t="s">
        <v>1493</v>
      </c>
      <c r="H46" s="6" t="s">
        <v>1520</v>
      </c>
    </row>
    <row r="47" ht="21.0" customHeight="1">
      <c r="A47" s="6" t="s">
        <v>1661</v>
      </c>
      <c r="B47" s="6" t="s">
        <v>1112</v>
      </c>
      <c r="C47" s="8">
        <v>46308.54583333333</v>
      </c>
      <c r="D47" s="6" t="s">
        <v>1502</v>
      </c>
      <c r="E47" s="6">
        <v>12.0</v>
      </c>
      <c r="F47" s="8">
        <v>46308.79583333333</v>
      </c>
      <c r="G47" s="6" t="s">
        <v>1493</v>
      </c>
      <c r="H47" s="6" t="s">
        <v>1495</v>
      </c>
    </row>
    <row r="48" ht="21.0" customHeight="1">
      <c r="A48" s="6" t="s">
        <v>1666</v>
      </c>
      <c r="B48" s="6" t="s">
        <v>327</v>
      </c>
      <c r="C48" s="8">
        <v>46308.62291666667</v>
      </c>
      <c r="D48" s="6" t="s">
        <v>1502</v>
      </c>
      <c r="E48" s="6">
        <v>12.0</v>
      </c>
      <c r="F48" s="8">
        <v>46308.87291666667</v>
      </c>
      <c r="G48" s="6" t="s">
        <v>1493</v>
      </c>
      <c r="H48" s="6" t="s">
        <v>1524</v>
      </c>
    </row>
    <row r="49" ht="21.0" customHeight="1">
      <c r="A49" s="6" t="s">
        <v>1670</v>
      </c>
      <c r="B49" s="6" t="s">
        <v>756</v>
      </c>
      <c r="C49" s="8">
        <v>46308.7</v>
      </c>
      <c r="D49" s="6" t="s">
        <v>1502</v>
      </c>
      <c r="E49" s="6">
        <v>12.0</v>
      </c>
      <c r="F49" s="8">
        <v>46309.40833333333</v>
      </c>
      <c r="G49" s="6" t="s">
        <v>1493</v>
      </c>
      <c r="H49" s="6" t="s">
        <v>1524</v>
      </c>
    </row>
    <row r="50" ht="21.0" customHeight="1">
      <c r="A50" s="6" t="s">
        <v>1674</v>
      </c>
      <c r="B50" s="6" t="s">
        <v>157</v>
      </c>
      <c r="C50" s="8">
        <v>46308.777083333334</v>
      </c>
      <c r="D50" s="6" t="s">
        <v>1519</v>
      </c>
      <c r="E50" s="6">
        <v>4.0</v>
      </c>
      <c r="F50" s="8"/>
      <c r="G50" s="6" t="s">
        <v>1515</v>
      </c>
      <c r="H50" s="6" t="s">
        <v>1495</v>
      </c>
    </row>
    <row r="51" ht="21.0" customHeight="1">
      <c r="A51" s="6" t="s">
        <v>1680</v>
      </c>
      <c r="B51" s="6" t="s">
        <v>390</v>
      </c>
      <c r="C51" s="8">
        <v>46308.854166666664</v>
      </c>
      <c r="D51" s="6" t="s">
        <v>1492</v>
      </c>
      <c r="E51" s="6">
        <v>24.0</v>
      </c>
      <c r="F51" s="8">
        <v>46309.354166666664</v>
      </c>
      <c r="G51" s="6" t="s">
        <v>1493</v>
      </c>
      <c r="H51" s="6" t="s">
        <v>1520</v>
      </c>
    </row>
    <row r="52" ht="21.0" customHeight="1">
      <c r="A52" s="6" t="s">
        <v>1686</v>
      </c>
      <c r="B52" s="6" t="s">
        <v>1039</v>
      </c>
      <c r="C52" s="8">
        <v>46308.93125</v>
      </c>
      <c r="D52" s="6" t="s">
        <v>1492</v>
      </c>
      <c r="E52" s="6">
        <v>24.0</v>
      </c>
      <c r="F52" s="8">
        <v>46309.43125</v>
      </c>
      <c r="G52" s="6" t="s">
        <v>1493</v>
      </c>
      <c r="H52" s="6" t="s">
        <v>1495</v>
      </c>
    </row>
    <row r="53" ht="21.0" customHeight="1">
      <c r="A53" s="6" t="s">
        <v>1691</v>
      </c>
      <c r="B53" s="6" t="s">
        <v>1256</v>
      </c>
      <c r="C53" s="8">
        <v>46309.00833333333</v>
      </c>
      <c r="D53" s="6" t="s">
        <v>1492</v>
      </c>
      <c r="E53" s="6">
        <v>24.0</v>
      </c>
      <c r="F53" s="8">
        <v>46309.50833333333</v>
      </c>
      <c r="G53" s="6" t="s">
        <v>1493</v>
      </c>
      <c r="H53" s="6" t="s">
        <v>1520</v>
      </c>
    </row>
    <row r="54" ht="21.0" customHeight="1">
      <c r="A54" s="6" t="s">
        <v>1696</v>
      </c>
      <c r="B54" s="6" t="s">
        <v>1172</v>
      </c>
      <c r="C54" s="8">
        <v>46309.08541666667</v>
      </c>
      <c r="D54" s="6" t="s">
        <v>1502</v>
      </c>
      <c r="E54" s="6">
        <v>12.0</v>
      </c>
      <c r="F54" s="8">
        <v>46309.33541666667</v>
      </c>
      <c r="G54" s="6" t="s">
        <v>1493</v>
      </c>
      <c r="H54" s="6" t="s">
        <v>1495</v>
      </c>
    </row>
    <row r="55" ht="21.0" customHeight="1">
      <c r="A55" s="6" t="s">
        <v>1701</v>
      </c>
      <c r="B55" s="6" t="s">
        <v>325</v>
      </c>
      <c r="C55" s="8">
        <v>46309.1625</v>
      </c>
      <c r="D55" s="6" t="s">
        <v>1492</v>
      </c>
      <c r="E55" s="6">
        <v>24.0</v>
      </c>
      <c r="F55" s="8">
        <v>46310.370833333334</v>
      </c>
      <c r="G55" s="6" t="s">
        <v>1493</v>
      </c>
      <c r="H55" s="6" t="s">
        <v>1495</v>
      </c>
    </row>
    <row r="56" ht="21.0" customHeight="1">
      <c r="A56" s="6" t="s">
        <v>1704</v>
      </c>
      <c r="B56" s="6" t="s">
        <v>1217</v>
      </c>
      <c r="C56" s="8">
        <v>46309.239583333336</v>
      </c>
      <c r="D56" s="6" t="s">
        <v>1502</v>
      </c>
      <c r="E56" s="6">
        <v>12.0</v>
      </c>
      <c r="F56" s="8"/>
      <c r="G56" s="6" t="s">
        <v>1515</v>
      </c>
      <c r="H56" s="6" t="s">
        <v>1498</v>
      </c>
    </row>
    <row r="57" ht="21.0" customHeight="1">
      <c r="A57" s="6" t="s">
        <v>1709</v>
      </c>
      <c r="B57" s="6" t="s">
        <v>884</v>
      </c>
      <c r="C57" s="8">
        <v>46309.316666666666</v>
      </c>
      <c r="D57" s="6" t="s">
        <v>1492</v>
      </c>
      <c r="E57" s="6">
        <v>24.0</v>
      </c>
      <c r="F57" s="8"/>
      <c r="G57" s="6" t="s">
        <v>1515</v>
      </c>
      <c r="H57" s="6" t="s">
        <v>1520</v>
      </c>
    </row>
    <row r="58" ht="21.0" customHeight="1">
      <c r="A58" s="6" t="s">
        <v>1714</v>
      </c>
      <c r="B58" s="6" t="s">
        <v>376</v>
      </c>
      <c r="C58" s="8">
        <v>46309.39375</v>
      </c>
      <c r="D58" s="6" t="s">
        <v>1492</v>
      </c>
      <c r="E58" s="6">
        <v>24.0</v>
      </c>
      <c r="F58" s="8">
        <v>46309.89375</v>
      </c>
      <c r="G58" s="6" t="s">
        <v>1493</v>
      </c>
      <c r="H58" s="6" t="s">
        <v>1498</v>
      </c>
    </row>
    <row r="59" ht="21.0" customHeight="1">
      <c r="A59" s="6" t="s">
        <v>1720</v>
      </c>
      <c r="B59" s="6" t="s">
        <v>1304</v>
      </c>
      <c r="C59" s="8">
        <v>46309.47083333333</v>
      </c>
      <c r="D59" s="6" t="s">
        <v>1502</v>
      </c>
      <c r="E59" s="6">
        <v>12.0</v>
      </c>
      <c r="F59" s="8">
        <v>46309.72083333333</v>
      </c>
      <c r="G59" s="6" t="s">
        <v>1493</v>
      </c>
      <c r="H59" s="6" t="s">
        <v>1524</v>
      </c>
    </row>
    <row r="60" ht="21.0" customHeight="1">
      <c r="A60" s="6" t="s">
        <v>1725</v>
      </c>
      <c r="B60" s="6" t="s">
        <v>1297</v>
      </c>
      <c r="C60" s="8">
        <v>46309.54791666667</v>
      </c>
      <c r="D60" s="6" t="s">
        <v>1492</v>
      </c>
      <c r="E60" s="6">
        <v>24.0</v>
      </c>
      <c r="F60" s="8">
        <v>46310.04791666667</v>
      </c>
      <c r="G60" s="6" t="s">
        <v>1493</v>
      </c>
      <c r="H60" s="6" t="s">
        <v>1520</v>
      </c>
    </row>
    <row r="61" ht="21.0" customHeight="1">
      <c r="A61" s="6" t="s">
        <v>1730</v>
      </c>
      <c r="B61" s="6" t="s">
        <v>918</v>
      </c>
      <c r="C61" s="8">
        <v>46309.625</v>
      </c>
      <c r="D61" s="6" t="s">
        <v>1519</v>
      </c>
      <c r="E61" s="6">
        <v>4.0</v>
      </c>
      <c r="F61" s="8">
        <v>46310.0</v>
      </c>
      <c r="G61" s="6" t="s">
        <v>1493</v>
      </c>
      <c r="H61" s="6" t="s">
        <v>1498</v>
      </c>
    </row>
    <row r="62" ht="21.0" customHeight="1">
      <c r="A62" s="6" t="s">
        <v>1735</v>
      </c>
      <c r="B62" s="6" t="s">
        <v>1146</v>
      </c>
      <c r="C62" s="8">
        <v>46309.70208333333</v>
      </c>
      <c r="D62" s="6" t="s">
        <v>1492</v>
      </c>
      <c r="E62" s="6">
        <v>24.0</v>
      </c>
      <c r="F62" s="8">
        <v>46310.20208333333</v>
      </c>
      <c r="G62" s="6" t="s">
        <v>1493</v>
      </c>
      <c r="H62" s="6" t="s">
        <v>1520</v>
      </c>
    </row>
    <row r="63" ht="21.0" customHeight="1">
      <c r="A63" s="6" t="s">
        <v>1741</v>
      </c>
      <c r="B63" s="6" t="s">
        <v>804</v>
      </c>
      <c r="C63" s="8">
        <v>46309.77916666667</v>
      </c>
      <c r="D63" s="6" t="s">
        <v>1492</v>
      </c>
      <c r="E63" s="6">
        <v>24.0</v>
      </c>
      <c r="F63" s="8">
        <v>46310.27916666667</v>
      </c>
      <c r="G63" s="6" t="s">
        <v>1493</v>
      </c>
      <c r="H63" s="6" t="s">
        <v>1520</v>
      </c>
    </row>
    <row r="64" ht="21.0" customHeight="1">
      <c r="A64" s="6" t="s">
        <v>1748</v>
      </c>
      <c r="B64" s="6" t="s">
        <v>1142</v>
      </c>
      <c r="C64" s="8">
        <v>46309.85625</v>
      </c>
      <c r="D64" s="6" t="s">
        <v>1492</v>
      </c>
      <c r="E64" s="6">
        <v>24.0</v>
      </c>
      <c r="F64" s="8"/>
      <c r="G64" s="6" t="s">
        <v>1515</v>
      </c>
      <c r="H64" s="6" t="s">
        <v>1520</v>
      </c>
    </row>
    <row r="65" ht="21.0" customHeight="1">
      <c r="A65" s="6" t="s">
        <v>1752</v>
      </c>
      <c r="B65" s="6" t="s">
        <v>1336</v>
      </c>
      <c r="C65" s="8">
        <v>46309.933333333334</v>
      </c>
      <c r="D65" s="6" t="s">
        <v>1492</v>
      </c>
      <c r="E65" s="6">
        <v>24.0</v>
      </c>
      <c r="F65" s="8">
        <v>46310.433333333334</v>
      </c>
      <c r="G65" s="6" t="s">
        <v>1493</v>
      </c>
      <c r="H65" s="6" t="s">
        <v>1498</v>
      </c>
    </row>
    <row r="66" ht="21.0" customHeight="1">
      <c r="A66" s="6" t="s">
        <v>1758</v>
      </c>
      <c r="B66" s="6" t="s">
        <v>712</v>
      </c>
      <c r="C66" s="8">
        <v>46310.010416666664</v>
      </c>
      <c r="D66" s="6" t="s">
        <v>1502</v>
      </c>
      <c r="E66" s="6">
        <v>12.0</v>
      </c>
      <c r="F66" s="8">
        <v>46310.260416666664</v>
      </c>
      <c r="G66" s="6" t="s">
        <v>1493</v>
      </c>
      <c r="H66" s="6" t="s">
        <v>1498</v>
      </c>
    </row>
    <row r="67" ht="21.0" customHeight="1">
      <c r="A67" s="6" t="s">
        <v>1762</v>
      </c>
      <c r="B67" s="6" t="s">
        <v>1316</v>
      </c>
      <c r="C67" s="8">
        <v>46310.0875</v>
      </c>
      <c r="D67" s="6" t="s">
        <v>1519</v>
      </c>
      <c r="E67" s="6">
        <v>4.0</v>
      </c>
      <c r="F67" s="8"/>
      <c r="G67" s="6" t="s">
        <v>1515</v>
      </c>
      <c r="H67" s="6" t="s">
        <v>1520</v>
      </c>
    </row>
    <row r="68" ht="21.0" customHeight="1">
      <c r="A68" s="6" t="s">
        <v>1767</v>
      </c>
      <c r="B68" s="6" t="s">
        <v>1080</v>
      </c>
      <c r="C68" s="8">
        <v>46310.16458333333</v>
      </c>
      <c r="D68" s="6" t="s">
        <v>1502</v>
      </c>
      <c r="E68" s="6">
        <v>12.0</v>
      </c>
      <c r="F68" s="8">
        <v>46310.41458333333</v>
      </c>
      <c r="G68" s="6" t="s">
        <v>1493</v>
      </c>
      <c r="H68" s="6" t="s">
        <v>1520</v>
      </c>
    </row>
    <row r="69" ht="21.0" customHeight="1">
      <c r="A69" s="6" t="s">
        <v>1773</v>
      </c>
      <c r="B69" s="6" t="s">
        <v>1087</v>
      </c>
      <c r="C69" s="8">
        <v>46310.24166666667</v>
      </c>
      <c r="D69" s="6" t="s">
        <v>1492</v>
      </c>
      <c r="E69" s="6">
        <v>24.0</v>
      </c>
      <c r="F69" s="8">
        <v>46310.74166666667</v>
      </c>
      <c r="G69" s="6" t="s">
        <v>1493</v>
      </c>
      <c r="H69" s="6" t="s">
        <v>1498</v>
      </c>
    </row>
    <row r="70" ht="21.0" customHeight="1">
      <c r="A70" s="6" t="s">
        <v>1778</v>
      </c>
      <c r="B70" s="6" t="s">
        <v>1027</v>
      </c>
      <c r="C70" s="8">
        <v>46310.31875</v>
      </c>
      <c r="D70" s="6" t="s">
        <v>1519</v>
      </c>
      <c r="E70" s="6">
        <v>4.0</v>
      </c>
      <c r="F70" s="8">
        <v>46310.402083333334</v>
      </c>
      <c r="G70" s="6" t="s">
        <v>1493</v>
      </c>
      <c r="H70" s="6" t="s">
        <v>1524</v>
      </c>
    </row>
    <row r="71" ht="21.0" customHeight="1">
      <c r="A71" s="6" t="s">
        <v>1785</v>
      </c>
      <c r="B71" s="6" t="s">
        <v>835</v>
      </c>
      <c r="C71" s="8">
        <v>46310.395833333336</v>
      </c>
      <c r="D71" s="6" t="s">
        <v>1502</v>
      </c>
      <c r="E71" s="6">
        <v>12.0</v>
      </c>
      <c r="F71" s="8"/>
      <c r="G71" s="6" t="s">
        <v>1515</v>
      </c>
      <c r="H71" s="6" t="s">
        <v>1520</v>
      </c>
    </row>
    <row r="72" ht="21.0" customHeight="1">
      <c r="A72" s="6" t="s">
        <v>1790</v>
      </c>
      <c r="B72" s="6" t="s">
        <v>825</v>
      </c>
      <c r="C72" s="8">
        <v>46310.472916666666</v>
      </c>
      <c r="D72" s="6" t="s">
        <v>1502</v>
      </c>
      <c r="E72" s="6">
        <v>12.0</v>
      </c>
      <c r="F72" s="8">
        <v>46310.722916666666</v>
      </c>
      <c r="G72" s="6" t="s">
        <v>1493</v>
      </c>
      <c r="H72" s="6" t="s">
        <v>1495</v>
      </c>
    </row>
    <row r="73" ht="21.0" customHeight="1">
      <c r="A73" s="6" t="s">
        <v>1794</v>
      </c>
      <c r="B73" s="6" t="s">
        <v>1280</v>
      </c>
      <c r="C73" s="8">
        <v>46310.55</v>
      </c>
      <c r="D73" s="6" t="s">
        <v>1519</v>
      </c>
      <c r="E73" s="6">
        <v>4.0</v>
      </c>
      <c r="F73" s="8">
        <v>46310.925</v>
      </c>
      <c r="G73" s="6" t="s">
        <v>1493</v>
      </c>
      <c r="H73" s="6" t="s">
        <v>1524</v>
      </c>
    </row>
    <row r="74" ht="21.0" customHeight="1">
      <c r="A74" s="6" t="s">
        <v>1800</v>
      </c>
      <c r="B74" s="6" t="s">
        <v>1117</v>
      </c>
      <c r="C74" s="8">
        <v>46310.62708333333</v>
      </c>
      <c r="D74" s="6" t="s">
        <v>1502</v>
      </c>
      <c r="E74" s="6">
        <v>12.0</v>
      </c>
      <c r="F74" s="8">
        <v>46310.87708333333</v>
      </c>
      <c r="G74" s="6" t="s">
        <v>1493</v>
      </c>
      <c r="H74" s="6" t="s">
        <v>1495</v>
      </c>
    </row>
    <row r="75" ht="21.0" customHeight="1">
      <c r="A75" s="6" t="s">
        <v>1806</v>
      </c>
      <c r="B75" s="6" t="s">
        <v>1029</v>
      </c>
      <c r="C75" s="8">
        <v>46310.70416666667</v>
      </c>
      <c r="D75" s="6" t="s">
        <v>1519</v>
      </c>
      <c r="E75" s="6">
        <v>4.0</v>
      </c>
      <c r="F75" s="8">
        <v>46310.7875</v>
      </c>
      <c r="G75" s="6" t="s">
        <v>1493</v>
      </c>
      <c r="H75" s="6" t="s">
        <v>1524</v>
      </c>
    </row>
    <row r="76" ht="21.0" customHeight="1">
      <c r="A76" s="6" t="s">
        <v>1810</v>
      </c>
      <c r="B76" s="6" t="s">
        <v>1326</v>
      </c>
      <c r="C76" s="8">
        <v>46310.78125</v>
      </c>
      <c r="D76" s="6" t="s">
        <v>1502</v>
      </c>
      <c r="E76" s="6">
        <v>12.0</v>
      </c>
      <c r="F76" s="8">
        <v>46311.03125</v>
      </c>
      <c r="G76" s="6" t="s">
        <v>1493</v>
      </c>
      <c r="H76" s="6" t="s">
        <v>1524</v>
      </c>
    </row>
    <row r="77" ht="21.0" customHeight="1">
      <c r="A77" s="6" t="s">
        <v>1814</v>
      </c>
      <c r="B77" s="6" t="s">
        <v>1226</v>
      </c>
      <c r="C77" s="8">
        <v>46310.85833333333</v>
      </c>
      <c r="D77" s="6" t="s">
        <v>1502</v>
      </c>
      <c r="E77" s="6">
        <v>12.0</v>
      </c>
      <c r="F77" s="8">
        <v>46311.10833333333</v>
      </c>
      <c r="G77" s="6" t="s">
        <v>1493</v>
      </c>
      <c r="H77" s="6" t="s">
        <v>1495</v>
      </c>
    </row>
    <row r="78" ht="21.0" customHeight="1">
      <c r="A78" s="6" t="s">
        <v>1819</v>
      </c>
      <c r="B78" s="6" t="s">
        <v>29</v>
      </c>
      <c r="C78" s="8">
        <v>46310.93541666667</v>
      </c>
      <c r="D78" s="6" t="s">
        <v>1519</v>
      </c>
      <c r="E78" s="6">
        <v>4.0</v>
      </c>
      <c r="F78" s="8"/>
      <c r="G78" s="6" t="s">
        <v>1515</v>
      </c>
      <c r="H78" s="6" t="s">
        <v>1520</v>
      </c>
    </row>
    <row r="79" ht="21.0" customHeight="1">
      <c r="A79" s="6" t="s">
        <v>1822</v>
      </c>
      <c r="B79" s="6" t="s">
        <v>1125</v>
      </c>
      <c r="C79" s="8">
        <v>46311.0125</v>
      </c>
      <c r="D79" s="6" t="s">
        <v>1519</v>
      </c>
      <c r="E79" s="6">
        <v>4.0</v>
      </c>
      <c r="F79" s="8">
        <v>46311.3875</v>
      </c>
      <c r="G79" s="6" t="s">
        <v>1493</v>
      </c>
      <c r="H79" s="6" t="s">
        <v>1524</v>
      </c>
    </row>
    <row r="80" ht="21.0" customHeight="1">
      <c r="A80" s="6" t="s">
        <v>1827</v>
      </c>
      <c r="B80" s="6" t="s">
        <v>1066</v>
      </c>
      <c r="C80" s="8">
        <v>46311.089583333334</v>
      </c>
      <c r="D80" s="6" t="s">
        <v>1502</v>
      </c>
      <c r="E80" s="6">
        <v>12.0</v>
      </c>
      <c r="F80" s="8">
        <v>46311.339583333334</v>
      </c>
      <c r="G80" s="6" t="s">
        <v>1493</v>
      </c>
      <c r="H80" s="6" t="s">
        <v>1498</v>
      </c>
    </row>
    <row r="81" ht="21.0" customHeight="1">
      <c r="A81" s="6" t="s">
        <v>1832</v>
      </c>
      <c r="B81" s="6" t="s">
        <v>127</v>
      </c>
      <c r="C81" s="8">
        <v>46311.166666666664</v>
      </c>
      <c r="D81" s="6" t="s">
        <v>1502</v>
      </c>
      <c r="E81" s="6">
        <v>12.0</v>
      </c>
      <c r="F81" s="8">
        <v>46311.416666666664</v>
      </c>
      <c r="G81" s="6" t="s">
        <v>1493</v>
      </c>
      <c r="H81" s="6" t="s">
        <v>1498</v>
      </c>
    </row>
    <row r="82" ht="21.0" customHeight="1">
      <c r="A82" s="6" t="s">
        <v>1838</v>
      </c>
      <c r="B82" s="6" t="s">
        <v>141</v>
      </c>
      <c r="C82" s="8">
        <v>46311.24375</v>
      </c>
      <c r="D82" s="6" t="s">
        <v>1502</v>
      </c>
      <c r="E82" s="6">
        <v>12.0</v>
      </c>
      <c r="F82" s="8">
        <v>46311.49375</v>
      </c>
      <c r="G82" s="6" t="s">
        <v>1493</v>
      </c>
      <c r="H82" s="6" t="s">
        <v>1495</v>
      </c>
    </row>
    <row r="83" ht="21.0" customHeight="1">
      <c r="A83" s="6" t="s">
        <v>1846</v>
      </c>
      <c r="B83" s="6" t="s">
        <v>515</v>
      </c>
      <c r="C83" s="8">
        <v>46311.32083333333</v>
      </c>
      <c r="D83" s="6" t="s">
        <v>1502</v>
      </c>
      <c r="E83" s="6">
        <v>12.0</v>
      </c>
      <c r="F83" s="8">
        <v>46311.57083333333</v>
      </c>
      <c r="G83" s="6" t="s">
        <v>1493</v>
      </c>
      <c r="H83" s="6" t="s">
        <v>1498</v>
      </c>
    </row>
    <row r="84" ht="21.0" customHeight="1">
      <c r="A84" s="6" t="s">
        <v>1850</v>
      </c>
      <c r="B84" s="6" t="s">
        <v>673</v>
      </c>
      <c r="C84" s="8">
        <v>46311.39791666667</v>
      </c>
      <c r="D84" s="6" t="s">
        <v>1492</v>
      </c>
      <c r="E84" s="6">
        <v>24.0</v>
      </c>
      <c r="F84" s="8">
        <v>46311.89791666667</v>
      </c>
      <c r="G84" s="6" t="s">
        <v>1493</v>
      </c>
      <c r="H84" s="6" t="s">
        <v>1520</v>
      </c>
    </row>
    <row r="85" ht="21.0" customHeight="1">
      <c r="A85" s="6" t="s">
        <v>1856</v>
      </c>
      <c r="B85" s="6" t="s">
        <v>874</v>
      </c>
      <c r="C85" s="8">
        <v>46311.475</v>
      </c>
      <c r="D85" s="6" t="s">
        <v>1519</v>
      </c>
      <c r="E85" s="6">
        <v>4.0</v>
      </c>
      <c r="F85" s="8"/>
      <c r="G85" s="6" t="s">
        <v>1515</v>
      </c>
      <c r="H85" s="6" t="s">
        <v>1495</v>
      </c>
    </row>
    <row r="86" ht="21.0" customHeight="1">
      <c r="A86" s="6" t="s">
        <v>1861</v>
      </c>
      <c r="B86" s="6" t="s">
        <v>1092</v>
      </c>
      <c r="C86" s="8">
        <v>46311.552083333336</v>
      </c>
      <c r="D86" s="6" t="s">
        <v>1492</v>
      </c>
      <c r="E86" s="6">
        <v>24.0</v>
      </c>
      <c r="F86" s="8">
        <v>46312.052083333336</v>
      </c>
      <c r="G86" s="6" t="s">
        <v>1493</v>
      </c>
      <c r="H86" s="6" t="s">
        <v>1524</v>
      </c>
    </row>
    <row r="87" ht="21.0" customHeight="1">
      <c r="A87" s="6" t="s">
        <v>1866</v>
      </c>
      <c r="B87" s="6" t="s">
        <v>952</v>
      </c>
      <c r="C87" s="8">
        <v>46311.629166666666</v>
      </c>
      <c r="D87" s="6" t="s">
        <v>1502</v>
      </c>
      <c r="E87" s="6">
        <v>12.0</v>
      </c>
      <c r="F87" s="8">
        <v>46311.879166666666</v>
      </c>
      <c r="G87" s="6" t="s">
        <v>1493</v>
      </c>
      <c r="H87" s="6" t="s">
        <v>1498</v>
      </c>
    </row>
    <row r="88" ht="21.0" customHeight="1">
      <c r="A88" s="6" t="s">
        <v>1871</v>
      </c>
      <c r="B88" s="6" t="s">
        <v>531</v>
      </c>
      <c r="C88" s="8">
        <v>46311.70625</v>
      </c>
      <c r="D88" s="6" t="s">
        <v>1502</v>
      </c>
      <c r="E88" s="6">
        <v>12.0</v>
      </c>
      <c r="F88" s="8">
        <v>46311.95625</v>
      </c>
      <c r="G88" s="6" t="s">
        <v>1493</v>
      </c>
      <c r="H88" s="6" t="s">
        <v>1520</v>
      </c>
    </row>
    <row r="89" ht="21.0" customHeight="1">
      <c r="A89" s="6" t="s">
        <v>1875</v>
      </c>
      <c r="B89" s="6" t="s">
        <v>932</v>
      </c>
      <c r="C89" s="8">
        <v>46311.78333333333</v>
      </c>
      <c r="D89" s="6" t="s">
        <v>1502</v>
      </c>
      <c r="E89" s="6">
        <v>12.0</v>
      </c>
      <c r="F89" s="8"/>
      <c r="G89" s="6" t="s">
        <v>1515</v>
      </c>
      <c r="H89" s="6" t="s">
        <v>1520</v>
      </c>
    </row>
    <row r="90" ht="21.0" customHeight="1">
      <c r="A90" s="6" t="s">
        <v>1880</v>
      </c>
      <c r="B90" s="6" t="s">
        <v>506</v>
      </c>
      <c r="C90" s="8">
        <v>46311.86041666667</v>
      </c>
      <c r="D90" s="6" t="s">
        <v>1492</v>
      </c>
      <c r="E90" s="6">
        <v>24.0</v>
      </c>
      <c r="F90" s="8">
        <v>46312.36041666667</v>
      </c>
      <c r="G90" s="6" t="s">
        <v>1493</v>
      </c>
      <c r="H90" s="6" t="s">
        <v>1524</v>
      </c>
    </row>
    <row r="91" ht="21.0" customHeight="1">
      <c r="A91" s="6" t="s">
        <v>1884</v>
      </c>
      <c r="B91" s="6" t="s">
        <v>1261</v>
      </c>
      <c r="C91" s="8">
        <v>46311.9375</v>
      </c>
      <c r="D91" s="6" t="s">
        <v>1519</v>
      </c>
      <c r="E91" s="6">
        <v>4.0</v>
      </c>
      <c r="F91" s="8">
        <v>46312.3125</v>
      </c>
      <c r="G91" s="6" t="s">
        <v>1493</v>
      </c>
      <c r="H91" s="6" t="s">
        <v>1495</v>
      </c>
    </row>
    <row r="92" ht="21.0" customHeight="1">
      <c r="A92" s="6" t="s">
        <v>1888</v>
      </c>
      <c r="B92" s="6" t="s">
        <v>736</v>
      </c>
      <c r="C92" s="8">
        <v>46312.01458333333</v>
      </c>
      <c r="D92" s="6" t="s">
        <v>1519</v>
      </c>
      <c r="E92" s="6">
        <v>4.0</v>
      </c>
      <c r="F92" s="8"/>
      <c r="G92" s="6" t="s">
        <v>1515</v>
      </c>
      <c r="H92" s="6" t="s">
        <v>1520</v>
      </c>
    </row>
    <row r="93" ht="21.0" customHeight="1">
      <c r="A93" s="6" t="s">
        <v>1894</v>
      </c>
      <c r="B93" s="6" t="s">
        <v>1044</v>
      </c>
      <c r="C93" s="8">
        <v>46312.09166666667</v>
      </c>
      <c r="D93" s="6" t="s">
        <v>1519</v>
      </c>
      <c r="E93" s="6">
        <v>4.0</v>
      </c>
      <c r="F93" s="8">
        <v>46312.175</v>
      </c>
      <c r="G93" s="6" t="s">
        <v>1493</v>
      </c>
      <c r="H93" s="6" t="s">
        <v>1524</v>
      </c>
    </row>
    <row r="94" ht="21.0" customHeight="1">
      <c r="A94" s="6" t="s">
        <v>1899</v>
      </c>
      <c r="B94" s="6" t="s">
        <v>264</v>
      </c>
      <c r="C94" s="8">
        <v>46312.16875</v>
      </c>
      <c r="D94" s="6" t="s">
        <v>1519</v>
      </c>
      <c r="E94" s="6">
        <v>4.0</v>
      </c>
      <c r="F94" s="8">
        <v>46312.25208333333</v>
      </c>
      <c r="G94" s="6" t="s">
        <v>1493</v>
      </c>
      <c r="H94" s="6" t="s">
        <v>1524</v>
      </c>
    </row>
    <row r="95" ht="21.0" customHeight="1">
      <c r="A95" s="6" t="s">
        <v>1902</v>
      </c>
      <c r="B95" s="6" t="s">
        <v>1156</v>
      </c>
      <c r="C95" s="8">
        <v>46312.245833333334</v>
      </c>
      <c r="D95" s="6" t="s">
        <v>1502</v>
      </c>
      <c r="E95" s="6">
        <v>12.0</v>
      </c>
      <c r="F95" s="8">
        <v>46312.495833333334</v>
      </c>
      <c r="G95" s="6" t="s">
        <v>1493</v>
      </c>
      <c r="H95" s="6" t="s">
        <v>1495</v>
      </c>
    </row>
    <row r="96" ht="21.0" customHeight="1">
      <c r="A96" s="6" t="s">
        <v>1905</v>
      </c>
      <c r="B96" s="6" t="s">
        <v>732</v>
      </c>
      <c r="C96" s="8">
        <v>46312.322916666664</v>
      </c>
      <c r="D96" s="6" t="s">
        <v>1502</v>
      </c>
      <c r="E96" s="6">
        <v>12.0</v>
      </c>
      <c r="F96" s="8">
        <v>46312.572916666664</v>
      </c>
      <c r="G96" s="6" t="s">
        <v>1493</v>
      </c>
      <c r="H96" s="6" t="s">
        <v>1520</v>
      </c>
    </row>
    <row r="97" ht="21.0" customHeight="1">
      <c r="A97" s="6" t="s">
        <v>1910</v>
      </c>
      <c r="B97" s="6" t="s">
        <v>567</v>
      </c>
      <c r="C97" s="8">
        <v>46312.4</v>
      </c>
      <c r="D97" s="6" t="s">
        <v>1502</v>
      </c>
      <c r="E97" s="6">
        <v>12.0</v>
      </c>
      <c r="F97" s="8">
        <v>46313.10833333333</v>
      </c>
      <c r="G97" s="6" t="s">
        <v>1493</v>
      </c>
      <c r="H97" s="6" t="s">
        <v>1495</v>
      </c>
    </row>
    <row r="98" ht="21.0" customHeight="1">
      <c r="A98" s="6" t="s">
        <v>1914</v>
      </c>
      <c r="B98" s="6" t="s">
        <v>212</v>
      </c>
      <c r="C98" s="8">
        <v>46312.47708333333</v>
      </c>
      <c r="D98" s="6" t="s">
        <v>1502</v>
      </c>
      <c r="E98" s="6">
        <v>12.0</v>
      </c>
      <c r="F98" s="8">
        <v>46312.72708333333</v>
      </c>
      <c r="G98" s="6" t="s">
        <v>1493</v>
      </c>
      <c r="H98" s="6" t="s">
        <v>1498</v>
      </c>
    </row>
    <row r="99" ht="21.0" customHeight="1">
      <c r="A99" s="6" t="s">
        <v>1919</v>
      </c>
      <c r="B99" s="6" t="s">
        <v>1270</v>
      </c>
      <c r="C99" s="8">
        <v>46312.55416666667</v>
      </c>
      <c r="D99" s="6" t="s">
        <v>1519</v>
      </c>
      <c r="E99" s="6">
        <v>4.0</v>
      </c>
      <c r="F99" s="8"/>
      <c r="G99" s="6" t="s">
        <v>1515</v>
      </c>
      <c r="H99" s="6" t="s">
        <v>1495</v>
      </c>
    </row>
    <row r="100" ht="21.0" customHeight="1">
      <c r="A100" s="6" t="s">
        <v>1924</v>
      </c>
      <c r="B100" s="6" t="s">
        <v>661</v>
      </c>
      <c r="C100" s="8">
        <v>46312.63125</v>
      </c>
      <c r="D100" s="6" t="s">
        <v>1502</v>
      </c>
      <c r="E100" s="6">
        <v>12.0</v>
      </c>
      <c r="F100" s="8"/>
      <c r="G100" s="6" t="s">
        <v>1515</v>
      </c>
      <c r="H100" s="6" t="s">
        <v>1495</v>
      </c>
    </row>
    <row r="101" ht="21.0" customHeight="1">
      <c r="A101" s="6" t="s">
        <v>1927</v>
      </c>
      <c r="B101" s="6" t="s">
        <v>1282</v>
      </c>
      <c r="C101" s="8">
        <v>46312.708333333336</v>
      </c>
      <c r="D101" s="6" t="s">
        <v>1492</v>
      </c>
      <c r="E101" s="6">
        <v>24.0</v>
      </c>
      <c r="F101" s="8">
        <v>46313.208333333336</v>
      </c>
      <c r="G101" s="6" t="s">
        <v>1493</v>
      </c>
      <c r="H101" s="6" t="s">
        <v>1498</v>
      </c>
    </row>
    <row r="102" ht="21.0" customHeight="1">
      <c r="A102" s="6" t="s">
        <v>1933</v>
      </c>
      <c r="B102" s="6" t="s">
        <v>1190</v>
      </c>
      <c r="C102" s="8">
        <v>46312.785416666666</v>
      </c>
      <c r="D102" s="6" t="s">
        <v>1502</v>
      </c>
      <c r="E102" s="6">
        <v>12.0</v>
      </c>
      <c r="F102" s="8">
        <v>46313.035416666666</v>
      </c>
      <c r="G102" s="6" t="s">
        <v>1493</v>
      </c>
      <c r="H102" s="6" t="s">
        <v>1524</v>
      </c>
    </row>
    <row r="103" ht="21.0" customHeight="1">
      <c r="A103" s="6" t="s">
        <v>1936</v>
      </c>
      <c r="B103" s="6" t="s">
        <v>897</v>
      </c>
      <c r="C103" s="8">
        <v>46312.8625</v>
      </c>
      <c r="D103" s="6" t="s">
        <v>1502</v>
      </c>
      <c r="E103" s="6">
        <v>12.0</v>
      </c>
      <c r="F103" s="8">
        <v>46313.57083333333</v>
      </c>
      <c r="G103" s="6" t="s">
        <v>1493</v>
      </c>
      <c r="H103" s="6" t="s">
        <v>1498</v>
      </c>
    </row>
    <row r="104" ht="21.0" customHeight="1">
      <c r="A104" s="6" t="s">
        <v>1941</v>
      </c>
      <c r="B104" s="6" t="s">
        <v>656</v>
      </c>
      <c r="C104" s="8">
        <v>46312.93958333333</v>
      </c>
      <c r="D104" s="6" t="s">
        <v>1492</v>
      </c>
      <c r="E104" s="6">
        <v>24.0</v>
      </c>
      <c r="F104" s="8">
        <v>46313.43958333333</v>
      </c>
      <c r="G104" s="6" t="s">
        <v>1493</v>
      </c>
      <c r="H104" s="6" t="s">
        <v>1520</v>
      </c>
    </row>
    <row r="105" ht="21.0" customHeight="1">
      <c r="A105" s="6" t="s">
        <v>1947</v>
      </c>
      <c r="B105" s="6" t="s">
        <v>50</v>
      </c>
      <c r="C105" s="8">
        <v>46313.01666666667</v>
      </c>
      <c r="D105" s="6" t="s">
        <v>1502</v>
      </c>
      <c r="E105" s="6">
        <v>12.0</v>
      </c>
      <c r="F105" s="8">
        <v>46313.26666666667</v>
      </c>
      <c r="G105" s="6" t="s">
        <v>1493</v>
      </c>
      <c r="H105" s="6" t="s">
        <v>1524</v>
      </c>
    </row>
    <row r="106" ht="21.0" customHeight="1">
      <c r="A106" s="6" t="s">
        <v>1952</v>
      </c>
      <c r="B106" s="6" t="s">
        <v>572</v>
      </c>
      <c r="C106" s="8">
        <v>46313.09375</v>
      </c>
      <c r="D106" s="6" t="s">
        <v>1492</v>
      </c>
      <c r="E106" s="6">
        <v>24.0</v>
      </c>
      <c r="F106" s="8"/>
      <c r="G106" s="6" t="s">
        <v>1515</v>
      </c>
      <c r="H106" s="6" t="s">
        <v>1520</v>
      </c>
    </row>
    <row r="107" ht="21.0" customHeight="1">
      <c r="A107" s="6" t="s">
        <v>1957</v>
      </c>
      <c r="B107" s="6" t="s">
        <v>1112</v>
      </c>
      <c r="C107" s="8">
        <v>46313.17083333333</v>
      </c>
      <c r="D107" s="6" t="s">
        <v>1519</v>
      </c>
      <c r="E107" s="6">
        <v>4.0</v>
      </c>
      <c r="F107" s="8">
        <v>46313.254166666666</v>
      </c>
      <c r="G107" s="6" t="s">
        <v>1493</v>
      </c>
      <c r="H107" s="6" t="s">
        <v>1495</v>
      </c>
    </row>
    <row r="108" ht="21.0" customHeight="1">
      <c r="A108" s="6" t="s">
        <v>1962</v>
      </c>
      <c r="B108" s="6" t="s">
        <v>401</v>
      </c>
      <c r="C108" s="8">
        <v>46313.24791666667</v>
      </c>
      <c r="D108" s="6" t="s">
        <v>1502</v>
      </c>
      <c r="E108" s="6">
        <v>12.0</v>
      </c>
      <c r="F108" s="8">
        <v>46313.49791666667</v>
      </c>
      <c r="G108" s="6" t="s">
        <v>1493</v>
      </c>
      <c r="H108" s="6" t="s">
        <v>1524</v>
      </c>
    </row>
    <row r="109" ht="21.0" customHeight="1">
      <c r="A109" s="6" t="s">
        <v>1968</v>
      </c>
      <c r="B109" s="6" t="s">
        <v>932</v>
      </c>
      <c r="C109" s="8">
        <v>46313.325</v>
      </c>
      <c r="D109" s="6" t="s">
        <v>1519</v>
      </c>
      <c r="E109" s="6">
        <v>4.0</v>
      </c>
      <c r="F109" s="8">
        <v>46313.7</v>
      </c>
      <c r="G109" s="6" t="s">
        <v>1493</v>
      </c>
      <c r="H109" s="6" t="s">
        <v>1498</v>
      </c>
    </row>
    <row r="110" ht="21.0" customHeight="1">
      <c r="A110" s="6" t="s">
        <v>1974</v>
      </c>
      <c r="B110" s="6" t="s">
        <v>666</v>
      </c>
      <c r="C110" s="8">
        <v>46313.402083333334</v>
      </c>
      <c r="D110" s="6" t="s">
        <v>1519</v>
      </c>
      <c r="E110" s="6">
        <v>4.0</v>
      </c>
      <c r="F110" s="8">
        <v>46313.48541666667</v>
      </c>
      <c r="G110" s="6" t="s">
        <v>1493</v>
      </c>
      <c r="H110" s="6" t="s">
        <v>1495</v>
      </c>
    </row>
    <row r="111" ht="21.0" customHeight="1">
      <c r="A111" s="6" t="s">
        <v>1979</v>
      </c>
      <c r="B111" s="6" t="s">
        <v>736</v>
      </c>
      <c r="C111" s="8">
        <v>46313.479166666664</v>
      </c>
      <c r="D111" s="6" t="s">
        <v>1502</v>
      </c>
      <c r="E111" s="6">
        <v>12.0</v>
      </c>
      <c r="F111" s="8"/>
      <c r="G111" s="6" t="s">
        <v>1515</v>
      </c>
      <c r="H111" s="6" t="s">
        <v>1495</v>
      </c>
    </row>
    <row r="112" ht="21.0" customHeight="1">
      <c r="A112" s="6" t="s">
        <v>1984</v>
      </c>
      <c r="B112" s="6" t="s">
        <v>1280</v>
      </c>
      <c r="C112" s="8">
        <v>46313.55625</v>
      </c>
      <c r="D112" s="6" t="s">
        <v>1502</v>
      </c>
      <c r="E112" s="6">
        <v>12.0</v>
      </c>
      <c r="F112" s="8">
        <v>46313.80625</v>
      </c>
      <c r="G112" s="6" t="s">
        <v>1493</v>
      </c>
      <c r="H112" s="6" t="s">
        <v>1498</v>
      </c>
    </row>
    <row r="113" ht="21.0" customHeight="1">
      <c r="A113" s="6" t="s">
        <v>1988</v>
      </c>
      <c r="B113" s="6" t="s">
        <v>1154</v>
      </c>
      <c r="C113" s="8">
        <v>46313.63333333333</v>
      </c>
      <c r="D113" s="6" t="s">
        <v>1502</v>
      </c>
      <c r="E113" s="6">
        <v>12.0</v>
      </c>
      <c r="F113" s="8"/>
      <c r="G113" s="6" t="s">
        <v>1515</v>
      </c>
      <c r="H113" s="6" t="s">
        <v>1495</v>
      </c>
    </row>
    <row r="114" ht="21.0" customHeight="1">
      <c r="A114" s="6" t="s">
        <v>1992</v>
      </c>
      <c r="B114" s="6" t="s">
        <v>322</v>
      </c>
      <c r="C114" s="8">
        <v>46313.71041666667</v>
      </c>
      <c r="D114" s="6" t="s">
        <v>1502</v>
      </c>
      <c r="E114" s="6">
        <v>12.0</v>
      </c>
      <c r="F114" s="8">
        <v>46313.96041666667</v>
      </c>
      <c r="G114" s="6" t="s">
        <v>1493</v>
      </c>
      <c r="H114" s="6" t="s">
        <v>1498</v>
      </c>
    </row>
    <row r="115" ht="21.0" customHeight="1">
      <c r="A115" s="6" t="s">
        <v>1998</v>
      </c>
      <c r="B115" s="6" t="s">
        <v>1226</v>
      </c>
      <c r="C115" s="8">
        <v>46313.7875</v>
      </c>
      <c r="D115" s="6" t="s">
        <v>1502</v>
      </c>
      <c r="E115" s="6">
        <v>12.0</v>
      </c>
      <c r="F115" s="8">
        <v>46314.495833333334</v>
      </c>
      <c r="G115" s="6" t="s">
        <v>1493</v>
      </c>
      <c r="H115" s="6" t="s">
        <v>1498</v>
      </c>
    </row>
    <row r="116" ht="21.0" customHeight="1">
      <c r="A116" s="6" t="s">
        <v>2003</v>
      </c>
      <c r="B116" s="6" t="s">
        <v>220</v>
      </c>
      <c r="C116" s="8">
        <v>46313.864583333336</v>
      </c>
      <c r="D116" s="6" t="s">
        <v>1502</v>
      </c>
      <c r="E116" s="6">
        <v>12.0</v>
      </c>
      <c r="F116" s="8">
        <v>46314.114583333336</v>
      </c>
      <c r="G116" s="6" t="s">
        <v>1493</v>
      </c>
      <c r="H116" s="6" t="s">
        <v>1524</v>
      </c>
    </row>
    <row r="117" ht="21.0" customHeight="1">
      <c r="A117" s="6" t="s">
        <v>2020</v>
      </c>
      <c r="B117" s="6" t="s">
        <v>949</v>
      </c>
      <c r="C117" s="8">
        <v>46313.941666666666</v>
      </c>
      <c r="D117" s="6" t="s">
        <v>1519</v>
      </c>
      <c r="E117" s="6">
        <v>4.0</v>
      </c>
      <c r="F117" s="8">
        <v>46314.025</v>
      </c>
      <c r="G117" s="6" t="s">
        <v>1493</v>
      </c>
      <c r="H117" s="6" t="s">
        <v>1498</v>
      </c>
    </row>
    <row r="118" ht="21.0" customHeight="1">
      <c r="A118" s="6" t="s">
        <v>2025</v>
      </c>
      <c r="B118" s="6" t="s">
        <v>792</v>
      </c>
      <c r="C118" s="8">
        <v>46314.01875</v>
      </c>
      <c r="D118" s="6" t="s">
        <v>1492</v>
      </c>
      <c r="E118" s="6">
        <v>24.0</v>
      </c>
      <c r="F118" s="8">
        <v>46314.51875</v>
      </c>
      <c r="G118" s="6" t="s">
        <v>1493</v>
      </c>
      <c r="H118" s="6" t="s">
        <v>1520</v>
      </c>
    </row>
    <row r="119" ht="21.0" customHeight="1">
      <c r="A119" s="6" t="s">
        <v>2030</v>
      </c>
      <c r="B119" s="6" t="s">
        <v>1333</v>
      </c>
      <c r="C119" s="8">
        <v>46314.09583333333</v>
      </c>
      <c r="D119" s="6" t="s">
        <v>1502</v>
      </c>
      <c r="E119" s="6">
        <v>12.0</v>
      </c>
      <c r="F119" s="8">
        <v>46314.34583333333</v>
      </c>
      <c r="G119" s="6" t="s">
        <v>1493</v>
      </c>
      <c r="H119" s="6" t="s">
        <v>1520</v>
      </c>
    </row>
    <row r="120" ht="21.0" customHeight="1">
      <c r="A120" s="6" t="s">
        <v>2034</v>
      </c>
      <c r="B120" s="6" t="s">
        <v>1146</v>
      </c>
      <c r="C120" s="8">
        <v>46314.17291666667</v>
      </c>
      <c r="D120" s="6" t="s">
        <v>1502</v>
      </c>
      <c r="E120" s="6">
        <v>12.0</v>
      </c>
      <c r="F120" s="8"/>
      <c r="G120" s="6" t="s">
        <v>1515</v>
      </c>
      <c r="H120" s="6" t="s">
        <v>1520</v>
      </c>
    </row>
    <row r="121" ht="21.0" customHeight="1">
      <c r="A121" s="6" t="s">
        <v>2039</v>
      </c>
      <c r="B121" s="6" t="s">
        <v>189</v>
      </c>
      <c r="C121" s="8">
        <v>46314.25</v>
      </c>
      <c r="D121" s="6" t="s">
        <v>1502</v>
      </c>
      <c r="E121" s="6">
        <v>12.0</v>
      </c>
      <c r="F121" s="8">
        <v>46314.958333333336</v>
      </c>
      <c r="G121" s="6" t="s">
        <v>1493</v>
      </c>
      <c r="H121" s="6" t="s">
        <v>1524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0"/>
    <col customWidth="1" min="2" max="2" width="26.0"/>
    <col customWidth="1" min="3" max="4" width="19.0"/>
    <col customWidth="1" min="5" max="5" width="15.0"/>
    <col customWidth="1" min="6" max="6" width="67.0"/>
    <col customWidth="1" min="7" max="7" width="18.0"/>
    <col customWidth="1" min="8" max="8" width="22.0"/>
    <col customWidth="1" min="9" max="9" width="53.0"/>
    <col customWidth="1" min="10" max="26" width="8.63"/>
  </cols>
  <sheetData>
    <row r="1" ht="28.5" customHeight="1">
      <c r="A1" s="2" t="s">
        <v>1581</v>
      </c>
      <c r="B1" s="2" t="s">
        <v>1583</v>
      </c>
      <c r="C1" s="2" t="s">
        <v>1584</v>
      </c>
      <c r="D1" s="2" t="s">
        <v>2</v>
      </c>
      <c r="E1" s="2" t="s">
        <v>1586</v>
      </c>
      <c r="F1" s="2" t="s">
        <v>1588</v>
      </c>
      <c r="G1" s="2" t="s">
        <v>1590</v>
      </c>
      <c r="H1" s="2" t="s">
        <v>1592</v>
      </c>
      <c r="I1" s="2" t="s">
        <v>1593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0" customHeight="1">
      <c r="A2" s="6" t="s">
        <v>1599</v>
      </c>
      <c r="B2" s="6" t="s">
        <v>1601</v>
      </c>
      <c r="C2" s="6" t="s">
        <v>1388</v>
      </c>
      <c r="D2" s="6" t="s">
        <v>89</v>
      </c>
      <c r="E2" s="6" t="s">
        <v>1519</v>
      </c>
      <c r="F2" s="28" t="s">
        <v>1602</v>
      </c>
      <c r="G2" s="6" t="s">
        <v>1515</v>
      </c>
    </row>
    <row r="3" ht="21.0" customHeight="1">
      <c r="A3" s="6" t="s">
        <v>1608</v>
      </c>
      <c r="B3" s="6" t="s">
        <v>1601</v>
      </c>
      <c r="C3" s="6" t="s">
        <v>1392</v>
      </c>
      <c r="D3" s="6" t="s">
        <v>95</v>
      </c>
      <c r="E3" s="6" t="s">
        <v>1519</v>
      </c>
      <c r="F3" s="28" t="s">
        <v>1610</v>
      </c>
      <c r="G3" s="6" t="s">
        <v>1515</v>
      </c>
    </row>
    <row r="4" ht="21.0" customHeight="1">
      <c r="A4" s="6" t="s">
        <v>1613</v>
      </c>
      <c r="B4" s="6" t="s">
        <v>1601</v>
      </c>
      <c r="C4" s="6" t="s">
        <v>1402</v>
      </c>
      <c r="D4" s="6" t="s">
        <v>116</v>
      </c>
      <c r="E4" s="6" t="s">
        <v>1519</v>
      </c>
      <c r="F4" s="28" t="s">
        <v>1620</v>
      </c>
      <c r="G4" s="6" t="s">
        <v>1515</v>
      </c>
    </row>
    <row r="5" ht="21.0" customHeight="1">
      <c r="A5" s="6" t="s">
        <v>1622</v>
      </c>
      <c r="B5" s="6" t="s">
        <v>1601</v>
      </c>
      <c r="C5" s="6" t="s">
        <v>1405</v>
      </c>
      <c r="D5" s="6" t="s">
        <v>123</v>
      </c>
      <c r="E5" s="6" t="s">
        <v>1519</v>
      </c>
      <c r="F5" s="28" t="s">
        <v>1624</v>
      </c>
      <c r="G5" s="6" t="s">
        <v>1515</v>
      </c>
    </row>
    <row r="6" ht="21.0" customHeight="1">
      <c r="A6" s="6" t="s">
        <v>1625</v>
      </c>
      <c r="B6" s="6" t="s">
        <v>1601</v>
      </c>
      <c r="C6" s="6" t="s">
        <v>1426</v>
      </c>
      <c r="D6" s="6" t="s">
        <v>166</v>
      </c>
      <c r="E6" s="6" t="s">
        <v>1519</v>
      </c>
      <c r="F6" s="28" t="s">
        <v>1602</v>
      </c>
      <c r="G6" s="6" t="s">
        <v>1515</v>
      </c>
    </row>
    <row r="7" ht="21.0" customHeight="1">
      <c r="A7" s="6" t="s">
        <v>1630</v>
      </c>
      <c r="B7" s="6" t="s">
        <v>1601</v>
      </c>
      <c r="C7" s="6" t="s">
        <v>1439</v>
      </c>
      <c r="D7" s="6" t="s">
        <v>189</v>
      </c>
      <c r="E7" s="6" t="s">
        <v>1502</v>
      </c>
      <c r="F7" s="28" t="s">
        <v>1632</v>
      </c>
      <c r="G7" s="6" t="s">
        <v>1515</v>
      </c>
    </row>
    <row r="8" ht="21.0" customHeight="1">
      <c r="A8" s="6" t="s">
        <v>1635</v>
      </c>
      <c r="B8" s="6" t="s">
        <v>1601</v>
      </c>
      <c r="C8" s="6" t="s">
        <v>1454</v>
      </c>
      <c r="D8" s="6" t="s">
        <v>220</v>
      </c>
      <c r="E8" s="6" t="s">
        <v>1519</v>
      </c>
      <c r="F8" s="28" t="s">
        <v>1638</v>
      </c>
      <c r="G8" s="6" t="s">
        <v>1515</v>
      </c>
    </row>
    <row r="9" ht="21.0" customHeight="1">
      <c r="A9" s="6" t="s">
        <v>1641</v>
      </c>
      <c r="B9" s="6" t="s">
        <v>1601</v>
      </c>
      <c r="C9" s="6" t="s">
        <v>1456</v>
      </c>
      <c r="D9" s="6" t="s">
        <v>223</v>
      </c>
      <c r="E9" s="6" t="s">
        <v>1519</v>
      </c>
      <c r="F9" s="28" t="s">
        <v>1644</v>
      </c>
      <c r="G9" s="6" t="s">
        <v>1515</v>
      </c>
    </row>
    <row r="10" ht="21.0" customHeight="1">
      <c r="A10" s="6" t="s">
        <v>1646</v>
      </c>
      <c r="B10" s="6" t="s">
        <v>1601</v>
      </c>
      <c r="C10" s="6" t="s">
        <v>1485</v>
      </c>
      <c r="D10" s="6" t="s">
        <v>270</v>
      </c>
      <c r="E10" s="6" t="s">
        <v>1519</v>
      </c>
      <c r="F10" s="28" t="s">
        <v>1638</v>
      </c>
      <c r="G10" s="6" t="s">
        <v>1515</v>
      </c>
    </row>
    <row r="11" ht="21.0" customHeight="1">
      <c r="A11" s="6" t="s">
        <v>1651</v>
      </c>
      <c r="B11" s="6" t="s">
        <v>1601</v>
      </c>
      <c r="C11" s="6" t="s">
        <v>1503</v>
      </c>
      <c r="D11" s="6" t="s">
        <v>289</v>
      </c>
      <c r="E11" s="6" t="s">
        <v>1519</v>
      </c>
      <c r="F11" s="28" t="s">
        <v>1602</v>
      </c>
      <c r="G11" s="6" t="s">
        <v>1515</v>
      </c>
    </row>
    <row r="12" ht="21.0" customHeight="1">
      <c r="A12" s="6" t="s">
        <v>1654</v>
      </c>
      <c r="B12" s="6" t="s">
        <v>1601</v>
      </c>
      <c r="C12" s="6" t="s">
        <v>1547</v>
      </c>
      <c r="D12" s="6" t="s">
        <v>338</v>
      </c>
      <c r="E12" s="6" t="s">
        <v>1519</v>
      </c>
      <c r="F12" s="28" t="s">
        <v>1657</v>
      </c>
      <c r="G12" s="6" t="s">
        <v>1515</v>
      </c>
    </row>
    <row r="13" ht="21.0" customHeight="1">
      <c r="A13" s="6" t="s">
        <v>1660</v>
      </c>
      <c r="B13" s="6" t="s">
        <v>1601</v>
      </c>
      <c r="C13" s="6" t="s">
        <v>1553</v>
      </c>
      <c r="D13" s="6" t="s">
        <v>346</v>
      </c>
      <c r="E13" s="6" t="s">
        <v>1502</v>
      </c>
      <c r="F13" s="28" t="s">
        <v>1662</v>
      </c>
      <c r="G13" s="6" t="s">
        <v>1515</v>
      </c>
    </row>
    <row r="14" ht="21.0" customHeight="1">
      <c r="A14" s="6" t="s">
        <v>1665</v>
      </c>
      <c r="B14" s="6" t="s">
        <v>1601</v>
      </c>
      <c r="C14" s="6" t="s">
        <v>1577</v>
      </c>
      <c r="D14" s="6" t="s">
        <v>376</v>
      </c>
      <c r="E14" s="6" t="s">
        <v>1519</v>
      </c>
      <c r="F14" s="28" t="s">
        <v>1667</v>
      </c>
      <c r="G14" s="6" t="s">
        <v>1515</v>
      </c>
    </row>
    <row r="15" ht="21.0" customHeight="1">
      <c r="A15" s="6" t="s">
        <v>1669</v>
      </c>
      <c r="B15" s="6" t="s">
        <v>1601</v>
      </c>
      <c r="C15" s="6" t="s">
        <v>1639</v>
      </c>
      <c r="D15" s="6" t="s">
        <v>426</v>
      </c>
      <c r="E15" s="6" t="s">
        <v>1519</v>
      </c>
      <c r="F15" s="28" t="s">
        <v>1672</v>
      </c>
      <c r="G15" s="6" t="s">
        <v>1515</v>
      </c>
    </row>
    <row r="16" ht="21.0" customHeight="1">
      <c r="A16" s="6" t="s">
        <v>1676</v>
      </c>
      <c r="B16" s="6" t="s">
        <v>1601</v>
      </c>
      <c r="C16" s="6" t="s">
        <v>1643</v>
      </c>
      <c r="D16" s="6" t="s">
        <v>428</v>
      </c>
      <c r="E16" s="6" t="s">
        <v>1519</v>
      </c>
      <c r="F16" s="28" t="s">
        <v>1677</v>
      </c>
      <c r="G16" s="6" t="s">
        <v>1515</v>
      </c>
    </row>
    <row r="17" ht="21.0" customHeight="1">
      <c r="A17" s="6" t="s">
        <v>1679</v>
      </c>
      <c r="B17" s="6" t="s">
        <v>1601</v>
      </c>
      <c r="C17" s="6" t="s">
        <v>1681</v>
      </c>
      <c r="D17" s="6" t="s">
        <v>467</v>
      </c>
      <c r="E17" s="6" t="s">
        <v>1519</v>
      </c>
      <c r="F17" s="28" t="s">
        <v>1683</v>
      </c>
      <c r="G17" s="6" t="s">
        <v>1515</v>
      </c>
    </row>
    <row r="18" ht="21.0" customHeight="1">
      <c r="A18" s="6" t="s">
        <v>1685</v>
      </c>
      <c r="B18" s="6" t="s">
        <v>1601</v>
      </c>
      <c r="C18" s="6" t="s">
        <v>1687</v>
      </c>
      <c r="D18" s="6" t="s">
        <v>478</v>
      </c>
      <c r="E18" s="6" t="s">
        <v>1502</v>
      </c>
      <c r="F18" s="28" t="s">
        <v>1688</v>
      </c>
      <c r="G18" s="6" t="s">
        <v>1515</v>
      </c>
    </row>
    <row r="19" ht="21.0" customHeight="1">
      <c r="A19" s="6" t="s">
        <v>1690</v>
      </c>
      <c r="B19" s="6" t="s">
        <v>1601</v>
      </c>
      <c r="C19" s="6" t="s">
        <v>1693</v>
      </c>
      <c r="D19" s="6" t="s">
        <v>525</v>
      </c>
      <c r="E19" s="6" t="s">
        <v>1502</v>
      </c>
      <c r="F19" s="28" t="s">
        <v>1694</v>
      </c>
      <c r="G19" s="6" t="s">
        <v>1515</v>
      </c>
    </row>
    <row r="20" ht="21.0" customHeight="1">
      <c r="A20" s="6" t="s">
        <v>1697</v>
      </c>
      <c r="B20" s="6" t="s">
        <v>1601</v>
      </c>
      <c r="C20" s="6" t="s">
        <v>1699</v>
      </c>
      <c r="D20" s="6" t="s">
        <v>557</v>
      </c>
      <c r="E20" s="6" t="s">
        <v>1519</v>
      </c>
      <c r="F20" s="28" t="s">
        <v>1602</v>
      </c>
      <c r="G20" s="6" t="s">
        <v>1515</v>
      </c>
    </row>
    <row r="21" ht="21.0" customHeight="1">
      <c r="A21" s="6" t="s">
        <v>1702</v>
      </c>
      <c r="B21" s="6" t="s">
        <v>1601</v>
      </c>
      <c r="C21" s="6" t="s">
        <v>1703</v>
      </c>
      <c r="D21" s="6" t="s">
        <v>595</v>
      </c>
      <c r="E21" s="6" t="s">
        <v>1519</v>
      </c>
      <c r="F21" s="28" t="s">
        <v>1602</v>
      </c>
      <c r="G21" s="6" t="s">
        <v>1515</v>
      </c>
    </row>
    <row r="22" ht="21.0" customHeight="1">
      <c r="A22" s="6" t="s">
        <v>1705</v>
      </c>
      <c r="B22" s="6" t="s">
        <v>1601</v>
      </c>
      <c r="C22" s="6" t="s">
        <v>1706</v>
      </c>
      <c r="D22" s="6" t="s">
        <v>605</v>
      </c>
      <c r="E22" s="6" t="s">
        <v>1519</v>
      </c>
      <c r="F22" s="28" t="s">
        <v>1708</v>
      </c>
      <c r="G22" s="6" t="s">
        <v>1515</v>
      </c>
    </row>
    <row r="23" ht="21.0" customHeight="1">
      <c r="A23" s="6" t="s">
        <v>1710</v>
      </c>
      <c r="B23" s="6" t="s">
        <v>1601</v>
      </c>
      <c r="C23" s="6" t="s">
        <v>1712</v>
      </c>
      <c r="D23" s="6" t="s">
        <v>640</v>
      </c>
      <c r="E23" s="6" t="s">
        <v>1519</v>
      </c>
      <c r="F23" s="28" t="s">
        <v>1713</v>
      </c>
      <c r="G23" s="6" t="s">
        <v>1515</v>
      </c>
    </row>
    <row r="24" ht="21.0" customHeight="1">
      <c r="A24" s="6" t="s">
        <v>1715</v>
      </c>
      <c r="B24" s="6" t="s">
        <v>1601</v>
      </c>
      <c r="C24" s="6" t="s">
        <v>1718</v>
      </c>
      <c r="D24" s="6" t="s">
        <v>673</v>
      </c>
      <c r="E24" s="6" t="s">
        <v>1519</v>
      </c>
      <c r="F24" s="28" t="s">
        <v>1638</v>
      </c>
      <c r="G24" s="6" t="s">
        <v>1515</v>
      </c>
    </row>
    <row r="25" ht="21.0" customHeight="1">
      <c r="A25" s="6" t="s">
        <v>1721</v>
      </c>
      <c r="B25" s="6" t="s">
        <v>1601</v>
      </c>
      <c r="C25" s="6" t="s">
        <v>1722</v>
      </c>
      <c r="D25" s="6" t="s">
        <v>725</v>
      </c>
      <c r="E25" s="6" t="s">
        <v>1502</v>
      </c>
      <c r="F25" s="28" t="s">
        <v>1694</v>
      </c>
      <c r="G25" s="6" t="s">
        <v>1515</v>
      </c>
    </row>
    <row r="26" ht="21.0" customHeight="1">
      <c r="A26" s="6" t="s">
        <v>1726</v>
      </c>
      <c r="B26" s="6" t="s">
        <v>1601</v>
      </c>
      <c r="C26" s="6" t="s">
        <v>1727</v>
      </c>
      <c r="D26" s="6" t="s">
        <v>743</v>
      </c>
      <c r="E26" s="6" t="s">
        <v>1519</v>
      </c>
      <c r="F26" s="28" t="s">
        <v>1729</v>
      </c>
      <c r="G26" s="6" t="s">
        <v>1515</v>
      </c>
    </row>
    <row r="27" ht="21.0" customHeight="1">
      <c r="A27" s="6" t="s">
        <v>1731</v>
      </c>
      <c r="B27" s="6" t="s">
        <v>1601</v>
      </c>
      <c r="C27" s="6" t="s">
        <v>1732</v>
      </c>
      <c r="D27" s="6" t="s">
        <v>753</v>
      </c>
      <c r="E27" s="6" t="s">
        <v>1519</v>
      </c>
      <c r="F27" s="28" t="s">
        <v>1620</v>
      </c>
      <c r="G27" s="6" t="s">
        <v>1515</v>
      </c>
    </row>
    <row r="28" ht="21.0" customHeight="1">
      <c r="A28" s="6" t="s">
        <v>1736</v>
      </c>
      <c r="B28" s="6" t="s">
        <v>1601</v>
      </c>
      <c r="C28" s="6" t="s">
        <v>1738</v>
      </c>
      <c r="D28" s="6" t="s">
        <v>809</v>
      </c>
      <c r="E28" s="6" t="s">
        <v>1519</v>
      </c>
      <c r="F28" s="28" t="s">
        <v>1739</v>
      </c>
      <c r="G28" s="6" t="s">
        <v>1515</v>
      </c>
    </row>
    <row r="29" ht="21.0" customHeight="1">
      <c r="A29" s="6" t="s">
        <v>1742</v>
      </c>
      <c r="B29" s="6" t="s">
        <v>1601</v>
      </c>
      <c r="C29" s="6" t="s">
        <v>1743</v>
      </c>
      <c r="D29" s="6" t="s">
        <v>832</v>
      </c>
      <c r="E29" s="6" t="s">
        <v>1519</v>
      </c>
      <c r="F29" s="28" t="s">
        <v>1745</v>
      </c>
      <c r="G29" s="6" t="s">
        <v>1515</v>
      </c>
    </row>
    <row r="30" ht="21.0" customHeight="1">
      <c r="A30" s="6" t="s">
        <v>1747</v>
      </c>
      <c r="B30" s="6" t="s">
        <v>1601</v>
      </c>
      <c r="C30" s="6" t="s">
        <v>1750</v>
      </c>
      <c r="D30" s="6" t="s">
        <v>845</v>
      </c>
      <c r="E30" s="6" t="s">
        <v>1519</v>
      </c>
      <c r="F30" s="28" t="s">
        <v>1667</v>
      </c>
      <c r="G30" s="6" t="s">
        <v>1515</v>
      </c>
    </row>
    <row r="31" ht="21.0" customHeight="1">
      <c r="A31" s="6" t="s">
        <v>1753</v>
      </c>
      <c r="B31" s="6" t="s">
        <v>1601</v>
      </c>
      <c r="C31" s="6" t="s">
        <v>1754</v>
      </c>
      <c r="D31" s="6" t="s">
        <v>864</v>
      </c>
      <c r="E31" s="6" t="s">
        <v>1519</v>
      </c>
      <c r="F31" s="28" t="s">
        <v>1756</v>
      </c>
      <c r="G31" s="6" t="s">
        <v>1515</v>
      </c>
    </row>
    <row r="32" ht="21.0" customHeight="1">
      <c r="A32" s="6" t="s">
        <v>1759</v>
      </c>
      <c r="B32" s="6" t="s">
        <v>1601</v>
      </c>
      <c r="C32" s="6" t="s">
        <v>1760</v>
      </c>
      <c r="D32" s="6" t="s">
        <v>890</v>
      </c>
      <c r="E32" s="6" t="s">
        <v>1502</v>
      </c>
      <c r="F32" s="28" t="s">
        <v>1694</v>
      </c>
      <c r="G32" s="6" t="s">
        <v>1515</v>
      </c>
    </row>
    <row r="33" ht="21.0" customHeight="1">
      <c r="A33" s="6" t="s">
        <v>1764</v>
      </c>
      <c r="B33" s="6" t="s">
        <v>1601</v>
      </c>
      <c r="C33" s="6" t="s">
        <v>1766</v>
      </c>
      <c r="D33" s="6" t="s">
        <v>918</v>
      </c>
      <c r="E33" s="6" t="s">
        <v>1519</v>
      </c>
      <c r="F33" s="28" t="s">
        <v>1713</v>
      </c>
      <c r="G33" s="6" t="s">
        <v>1515</v>
      </c>
    </row>
    <row r="34" ht="21.0" customHeight="1">
      <c r="A34" s="6" t="s">
        <v>1769</v>
      </c>
      <c r="B34" s="6" t="s">
        <v>1601</v>
      </c>
      <c r="C34" s="6" t="s">
        <v>1770</v>
      </c>
      <c r="D34" s="6" t="s">
        <v>964</v>
      </c>
      <c r="E34" s="6" t="s">
        <v>1502</v>
      </c>
      <c r="F34" s="28" t="s">
        <v>1688</v>
      </c>
      <c r="G34" s="6" t="s">
        <v>1515</v>
      </c>
    </row>
    <row r="35" ht="21.0" customHeight="1">
      <c r="A35" s="6" t="s">
        <v>1774</v>
      </c>
      <c r="B35" s="6" t="s">
        <v>1601</v>
      </c>
      <c r="C35" s="6" t="s">
        <v>1775</v>
      </c>
      <c r="D35" s="6" t="s">
        <v>982</v>
      </c>
      <c r="E35" s="6" t="s">
        <v>1519</v>
      </c>
      <c r="F35" s="28" t="s">
        <v>1776</v>
      </c>
      <c r="G35" s="6" t="s">
        <v>1515</v>
      </c>
    </row>
    <row r="36" ht="21.0" customHeight="1">
      <c r="A36" s="6" t="s">
        <v>1777</v>
      </c>
      <c r="B36" s="6" t="s">
        <v>1601</v>
      </c>
      <c r="C36" s="6" t="s">
        <v>1779</v>
      </c>
      <c r="D36" s="6" t="s">
        <v>1000</v>
      </c>
      <c r="E36" s="6" t="s">
        <v>1519</v>
      </c>
      <c r="F36" s="28" t="s">
        <v>1602</v>
      </c>
      <c r="G36" s="6" t="s">
        <v>1515</v>
      </c>
    </row>
    <row r="37" ht="21.0" customHeight="1">
      <c r="A37" s="6" t="s">
        <v>1782</v>
      </c>
      <c r="B37" s="6" t="s">
        <v>1601</v>
      </c>
      <c r="C37" s="6" t="s">
        <v>1784</v>
      </c>
      <c r="D37" s="6" t="s">
        <v>1037</v>
      </c>
      <c r="E37" s="6" t="s">
        <v>1519</v>
      </c>
      <c r="F37" s="28" t="s">
        <v>1672</v>
      </c>
      <c r="G37" s="6" t="s">
        <v>1515</v>
      </c>
    </row>
    <row r="38" ht="21.0" customHeight="1">
      <c r="A38" s="6" t="s">
        <v>1787</v>
      </c>
      <c r="B38" s="6" t="s">
        <v>1601</v>
      </c>
      <c r="C38" s="6" t="s">
        <v>1788</v>
      </c>
      <c r="D38" s="6" t="s">
        <v>1063</v>
      </c>
      <c r="E38" s="6" t="s">
        <v>1519</v>
      </c>
      <c r="F38" s="28" t="s">
        <v>1620</v>
      </c>
      <c r="G38" s="6" t="s">
        <v>1515</v>
      </c>
    </row>
    <row r="39" ht="21.0" customHeight="1">
      <c r="A39" s="6" t="s">
        <v>1792</v>
      </c>
      <c r="B39" s="6" t="s">
        <v>1601</v>
      </c>
      <c r="C39" s="6" t="s">
        <v>1793</v>
      </c>
      <c r="D39" s="6" t="s">
        <v>1120</v>
      </c>
      <c r="E39" s="6" t="s">
        <v>1519</v>
      </c>
      <c r="F39" s="28" t="s">
        <v>1638</v>
      </c>
      <c r="G39" s="6" t="s">
        <v>1515</v>
      </c>
    </row>
    <row r="40" ht="21.0" customHeight="1">
      <c r="A40" s="6" t="s">
        <v>1797</v>
      </c>
      <c r="B40" s="6" t="s">
        <v>1601</v>
      </c>
      <c r="C40" s="6" t="s">
        <v>1798</v>
      </c>
      <c r="D40" s="6" t="s">
        <v>1122</v>
      </c>
      <c r="E40" s="6" t="s">
        <v>1519</v>
      </c>
      <c r="F40" s="28" t="s">
        <v>1801</v>
      </c>
      <c r="G40" s="6" t="s">
        <v>1515</v>
      </c>
    </row>
    <row r="41" ht="21.0" customHeight="1">
      <c r="A41" s="6" t="s">
        <v>1802</v>
      </c>
      <c r="B41" s="6" t="s">
        <v>1601</v>
      </c>
      <c r="C41" s="6" t="s">
        <v>1804</v>
      </c>
      <c r="D41" s="6" t="s">
        <v>1146</v>
      </c>
      <c r="E41" s="6" t="s">
        <v>1519</v>
      </c>
      <c r="F41" s="28" t="s">
        <v>1808</v>
      </c>
      <c r="G41" s="6" t="s">
        <v>1515</v>
      </c>
    </row>
    <row r="42" ht="21.0" customHeight="1">
      <c r="A42" s="6" t="s">
        <v>1809</v>
      </c>
      <c r="B42" s="6" t="s">
        <v>1601</v>
      </c>
      <c r="C42" s="6" t="s">
        <v>1811</v>
      </c>
      <c r="D42" s="6" t="s">
        <v>1175</v>
      </c>
      <c r="E42" s="6" t="s">
        <v>1502</v>
      </c>
      <c r="F42" s="28" t="s">
        <v>1694</v>
      </c>
      <c r="G42" s="6" t="s">
        <v>1515</v>
      </c>
    </row>
    <row r="43" ht="21.0" customHeight="1">
      <c r="A43" s="6" t="s">
        <v>1815</v>
      </c>
      <c r="B43" s="6" t="s">
        <v>1601</v>
      </c>
      <c r="C43" s="6" t="s">
        <v>1817</v>
      </c>
      <c r="D43" s="6" t="s">
        <v>1221</v>
      </c>
      <c r="E43" s="6" t="s">
        <v>1519</v>
      </c>
      <c r="F43" s="28" t="s">
        <v>1739</v>
      </c>
      <c r="G43" s="6" t="s">
        <v>1515</v>
      </c>
    </row>
    <row r="44" ht="21.0" customHeight="1">
      <c r="A44" s="6" t="s">
        <v>1820</v>
      </c>
      <c r="B44" s="6" t="s">
        <v>1601</v>
      </c>
      <c r="C44" s="6" t="s">
        <v>1821</v>
      </c>
      <c r="D44" s="6" t="s">
        <v>1229</v>
      </c>
      <c r="E44" s="6" t="s">
        <v>1502</v>
      </c>
      <c r="F44" s="28" t="s">
        <v>1694</v>
      </c>
      <c r="G44" s="6" t="s">
        <v>1515</v>
      </c>
    </row>
    <row r="45" ht="21.0" customHeight="1">
      <c r="A45" s="6" t="s">
        <v>1824</v>
      </c>
      <c r="B45" s="6" t="s">
        <v>1601</v>
      </c>
      <c r="C45" s="6" t="s">
        <v>1825</v>
      </c>
      <c r="D45" s="6" t="s">
        <v>1231</v>
      </c>
      <c r="E45" s="6" t="s">
        <v>1502</v>
      </c>
      <c r="F45" s="28" t="s">
        <v>1826</v>
      </c>
      <c r="G45" s="6" t="s">
        <v>1515</v>
      </c>
    </row>
    <row r="46" ht="21.0" customHeight="1">
      <c r="A46" s="6" t="s">
        <v>1828</v>
      </c>
      <c r="B46" s="6" t="s">
        <v>1601</v>
      </c>
      <c r="C46" s="6" t="s">
        <v>1829</v>
      </c>
      <c r="D46" s="6" t="s">
        <v>1239</v>
      </c>
      <c r="E46" s="6" t="s">
        <v>1502</v>
      </c>
      <c r="F46" s="28" t="s">
        <v>1826</v>
      </c>
      <c r="G46" s="6" t="s">
        <v>1515</v>
      </c>
    </row>
    <row r="47" ht="21.0" customHeight="1">
      <c r="A47" s="6" t="s">
        <v>1833</v>
      </c>
      <c r="B47" s="6" t="s">
        <v>1601</v>
      </c>
      <c r="C47" s="6" t="s">
        <v>1834</v>
      </c>
      <c r="D47" s="6" t="s">
        <v>1246</v>
      </c>
      <c r="E47" s="6" t="s">
        <v>1502</v>
      </c>
      <c r="F47" s="28" t="s">
        <v>1694</v>
      </c>
      <c r="G47" s="6" t="s">
        <v>1515</v>
      </c>
    </row>
    <row r="48" ht="21.0" customHeight="1">
      <c r="A48" s="6" t="s">
        <v>1837</v>
      </c>
      <c r="B48" s="6" t="s">
        <v>1601</v>
      </c>
      <c r="C48" s="6" t="s">
        <v>1840</v>
      </c>
      <c r="D48" s="6" t="s">
        <v>1265</v>
      </c>
      <c r="E48" s="6" t="s">
        <v>1502</v>
      </c>
      <c r="F48" s="28" t="s">
        <v>1841</v>
      </c>
      <c r="G48" s="6" t="s">
        <v>1515</v>
      </c>
    </row>
    <row r="49" ht="21.0" customHeight="1">
      <c r="A49" s="6" t="s">
        <v>1842</v>
      </c>
      <c r="B49" s="6" t="s">
        <v>1601</v>
      </c>
      <c r="C49" s="6" t="s">
        <v>1845</v>
      </c>
      <c r="D49" s="6" t="s">
        <v>1268</v>
      </c>
      <c r="E49" s="6" t="s">
        <v>1502</v>
      </c>
      <c r="F49" s="28" t="s">
        <v>1688</v>
      </c>
      <c r="G49" s="6" t="s">
        <v>1515</v>
      </c>
    </row>
    <row r="50" ht="21.0" customHeight="1">
      <c r="A50" s="6" t="s">
        <v>1848</v>
      </c>
      <c r="B50" s="6" t="s">
        <v>1601</v>
      </c>
      <c r="C50" s="6" t="s">
        <v>1849</v>
      </c>
      <c r="D50" s="6" t="s">
        <v>1270</v>
      </c>
      <c r="E50" s="6" t="s">
        <v>1502</v>
      </c>
      <c r="F50" s="28" t="s">
        <v>1826</v>
      </c>
      <c r="G50" s="6" t="s">
        <v>1515</v>
      </c>
    </row>
    <row r="51" ht="21.0" customHeight="1">
      <c r="A51" s="6" t="s">
        <v>1853</v>
      </c>
      <c r="B51" s="6" t="s">
        <v>1601</v>
      </c>
      <c r="C51" s="6" t="s">
        <v>1854</v>
      </c>
      <c r="D51" s="6" t="s">
        <v>1280</v>
      </c>
      <c r="E51" s="6" t="s">
        <v>1502</v>
      </c>
      <c r="F51" s="28" t="s">
        <v>1841</v>
      </c>
      <c r="G51" s="6" t="s">
        <v>1515</v>
      </c>
    </row>
    <row r="52" ht="21.0" customHeight="1">
      <c r="A52" s="6" t="s">
        <v>1858</v>
      </c>
      <c r="B52" s="6" t="s">
        <v>1601</v>
      </c>
      <c r="C52" s="6" t="s">
        <v>1860</v>
      </c>
      <c r="D52" s="6" t="s">
        <v>1287</v>
      </c>
      <c r="E52" s="6" t="s">
        <v>1502</v>
      </c>
      <c r="F52" s="28" t="s">
        <v>1826</v>
      </c>
      <c r="G52" s="6" t="s">
        <v>1515</v>
      </c>
    </row>
    <row r="53" ht="21.0" customHeight="1">
      <c r="A53" s="6" t="s">
        <v>1863</v>
      </c>
      <c r="B53" s="6" t="s">
        <v>1601</v>
      </c>
      <c r="C53" s="6" t="s">
        <v>1864</v>
      </c>
      <c r="D53" s="6" t="s">
        <v>1323</v>
      </c>
      <c r="E53" s="6" t="s">
        <v>1502</v>
      </c>
      <c r="F53" s="28" t="s">
        <v>1694</v>
      </c>
      <c r="G53" s="6" t="s">
        <v>1515</v>
      </c>
    </row>
    <row r="54" ht="21.0" customHeight="1">
      <c r="A54" s="6" t="s">
        <v>1868</v>
      </c>
      <c r="B54" s="6" t="s">
        <v>1869</v>
      </c>
      <c r="C54" s="6" t="s">
        <v>64</v>
      </c>
      <c r="D54" s="6" t="s">
        <v>65</v>
      </c>
      <c r="E54" s="6" t="s">
        <v>1519</v>
      </c>
      <c r="F54" s="28" t="s">
        <v>1872</v>
      </c>
      <c r="G54" s="6" t="s">
        <v>1515</v>
      </c>
    </row>
    <row r="55" ht="21.0" customHeight="1">
      <c r="A55" s="6" t="s">
        <v>1874</v>
      </c>
      <c r="B55" s="6" t="s">
        <v>1869</v>
      </c>
      <c r="C55" s="6" t="s">
        <v>148</v>
      </c>
      <c r="D55" s="6" t="s">
        <v>149</v>
      </c>
      <c r="E55" s="6" t="s">
        <v>1519</v>
      </c>
      <c r="F55" s="28" t="s">
        <v>1876</v>
      </c>
      <c r="G55" s="6" t="s">
        <v>1515</v>
      </c>
    </row>
    <row r="56" ht="21.0" customHeight="1">
      <c r="A56" s="6" t="s">
        <v>1878</v>
      </c>
      <c r="B56" s="6" t="s">
        <v>1869</v>
      </c>
      <c r="C56" s="6" t="s">
        <v>239</v>
      </c>
      <c r="D56" s="6" t="s">
        <v>240</v>
      </c>
      <c r="E56" s="6" t="s">
        <v>1519</v>
      </c>
      <c r="F56" s="28" t="s">
        <v>1881</v>
      </c>
      <c r="G56" s="6" t="s">
        <v>1515</v>
      </c>
    </row>
    <row r="57" ht="21.0" customHeight="1">
      <c r="A57" s="6" t="s">
        <v>1883</v>
      </c>
      <c r="B57" s="6" t="s">
        <v>1869</v>
      </c>
      <c r="C57" s="6" t="s">
        <v>321</v>
      </c>
      <c r="D57" s="6" t="s">
        <v>322</v>
      </c>
      <c r="E57" s="6" t="s">
        <v>1519</v>
      </c>
      <c r="F57" s="28" t="s">
        <v>1885</v>
      </c>
      <c r="G57" s="6" t="s">
        <v>1515</v>
      </c>
    </row>
    <row r="58" ht="21.0" customHeight="1">
      <c r="A58" s="6" t="s">
        <v>1887</v>
      </c>
      <c r="B58" s="6" t="s">
        <v>1869</v>
      </c>
      <c r="C58" s="6" t="s">
        <v>407</v>
      </c>
      <c r="D58" s="6" t="s">
        <v>408</v>
      </c>
      <c r="E58" s="6" t="s">
        <v>1519</v>
      </c>
      <c r="F58" s="28" t="s">
        <v>1890</v>
      </c>
      <c r="G58" s="6" t="s">
        <v>1515</v>
      </c>
    </row>
    <row r="59" ht="21.0" customHeight="1">
      <c r="A59" s="6" t="s">
        <v>1891</v>
      </c>
      <c r="B59" s="6" t="s">
        <v>1869</v>
      </c>
      <c r="C59" s="6" t="s">
        <v>503</v>
      </c>
      <c r="D59" s="6" t="s">
        <v>504</v>
      </c>
      <c r="E59" s="6" t="s">
        <v>1519</v>
      </c>
      <c r="F59" s="28" t="s">
        <v>1895</v>
      </c>
      <c r="G59" s="6" t="s">
        <v>1515</v>
      </c>
    </row>
    <row r="60" ht="21.0" customHeight="1">
      <c r="A60" s="6" t="s">
        <v>1896</v>
      </c>
      <c r="B60" s="6" t="s">
        <v>1869</v>
      </c>
      <c r="C60" s="6" t="s">
        <v>579</v>
      </c>
      <c r="D60" s="6" t="s">
        <v>582</v>
      </c>
      <c r="E60" s="6" t="s">
        <v>1519</v>
      </c>
      <c r="F60" s="28" t="s">
        <v>1898</v>
      </c>
      <c r="G60" s="6" t="s">
        <v>1515</v>
      </c>
    </row>
    <row r="61" ht="21.0" customHeight="1">
      <c r="A61" s="6" t="s">
        <v>1901</v>
      </c>
      <c r="B61" s="6" t="s">
        <v>1869</v>
      </c>
      <c r="C61" s="6" t="s">
        <v>634</v>
      </c>
      <c r="D61" s="6" t="s">
        <v>635</v>
      </c>
      <c r="E61" s="6" t="s">
        <v>1519</v>
      </c>
      <c r="F61" s="28" t="s">
        <v>1885</v>
      </c>
      <c r="G61" s="6" t="s">
        <v>1515</v>
      </c>
    </row>
    <row r="62" ht="21.0" customHeight="1">
      <c r="A62" s="6" t="s">
        <v>1904</v>
      </c>
      <c r="B62" s="6" t="s">
        <v>1869</v>
      </c>
      <c r="C62" s="6" t="s">
        <v>709</v>
      </c>
      <c r="D62" s="6" t="s">
        <v>710</v>
      </c>
      <c r="E62" s="6" t="s">
        <v>1519</v>
      </c>
      <c r="F62" s="28" t="s">
        <v>1906</v>
      </c>
      <c r="G62" s="6" t="s">
        <v>1515</v>
      </c>
    </row>
    <row r="63" ht="21.0" customHeight="1">
      <c r="A63" s="6" t="s">
        <v>1908</v>
      </c>
      <c r="B63" s="6" t="s">
        <v>1869</v>
      </c>
      <c r="C63" s="6" t="s">
        <v>791</v>
      </c>
      <c r="D63" s="6" t="s">
        <v>792</v>
      </c>
      <c r="E63" s="6" t="s">
        <v>1519</v>
      </c>
      <c r="F63" s="28" t="s">
        <v>1911</v>
      </c>
      <c r="G63" s="6" t="s">
        <v>1515</v>
      </c>
    </row>
    <row r="64" ht="21.0" customHeight="1">
      <c r="A64" s="6" t="s">
        <v>1912</v>
      </c>
      <c r="B64" s="6" t="s">
        <v>1869</v>
      </c>
      <c r="C64" s="6" t="s">
        <v>875</v>
      </c>
      <c r="D64" s="6" t="s">
        <v>876</v>
      </c>
      <c r="E64" s="6" t="s">
        <v>1519</v>
      </c>
      <c r="F64" s="28" t="s">
        <v>1916</v>
      </c>
      <c r="G64" s="6" t="s">
        <v>1515</v>
      </c>
    </row>
    <row r="65" ht="21.0" customHeight="1">
      <c r="A65" s="6" t="s">
        <v>1918</v>
      </c>
      <c r="B65" s="6" t="s">
        <v>1869</v>
      </c>
      <c r="C65" s="6" t="s">
        <v>943</v>
      </c>
      <c r="D65" s="6" t="s">
        <v>944</v>
      </c>
      <c r="E65" s="6" t="s">
        <v>1519</v>
      </c>
      <c r="F65" s="28" t="s">
        <v>1920</v>
      </c>
      <c r="G65" s="6" t="s">
        <v>1515</v>
      </c>
    </row>
    <row r="66" ht="21.0" customHeight="1">
      <c r="A66" s="6" t="s">
        <v>1923</v>
      </c>
      <c r="B66" s="6" t="s">
        <v>1869</v>
      </c>
      <c r="C66" s="6" t="s">
        <v>1014</v>
      </c>
      <c r="D66" s="6" t="s">
        <v>1015</v>
      </c>
      <c r="E66" s="6" t="s">
        <v>1519</v>
      </c>
      <c r="F66" s="28" t="s">
        <v>1872</v>
      </c>
      <c r="G66" s="6" t="s">
        <v>1515</v>
      </c>
    </row>
    <row r="67" ht="21.0" customHeight="1">
      <c r="A67" s="6" t="s">
        <v>1926</v>
      </c>
      <c r="B67" s="6" t="s">
        <v>1869</v>
      </c>
      <c r="C67" s="6" t="s">
        <v>1101</v>
      </c>
      <c r="D67" s="6" t="s">
        <v>1102</v>
      </c>
      <c r="E67" s="6" t="s">
        <v>1519</v>
      </c>
      <c r="F67" s="28" t="s">
        <v>1930</v>
      </c>
      <c r="G67" s="6" t="s">
        <v>1515</v>
      </c>
    </row>
    <row r="68" ht="21.0" customHeight="1">
      <c r="A68" s="6" t="s">
        <v>1931</v>
      </c>
      <c r="B68" s="6" t="s">
        <v>1869</v>
      </c>
      <c r="C68" s="6" t="s">
        <v>1208</v>
      </c>
      <c r="D68" s="6" t="s">
        <v>1209</v>
      </c>
      <c r="E68" s="6" t="s">
        <v>1519</v>
      </c>
      <c r="F68" s="28" t="s">
        <v>1934</v>
      </c>
      <c r="G68" s="6" t="s">
        <v>1515</v>
      </c>
    </row>
    <row r="69" ht="21.0" customHeight="1">
      <c r="A69" s="6" t="s">
        <v>1935</v>
      </c>
      <c r="B69" s="6" t="s">
        <v>1869</v>
      </c>
      <c r="C69" s="6" t="s">
        <v>1281</v>
      </c>
      <c r="D69" s="6" t="s">
        <v>1282</v>
      </c>
      <c r="E69" s="6" t="s">
        <v>1519</v>
      </c>
      <c r="F69" s="28" t="s">
        <v>1938</v>
      </c>
      <c r="G69" s="6" t="s">
        <v>1515</v>
      </c>
    </row>
    <row r="70" ht="21.0" customHeight="1">
      <c r="A70" s="6" t="s">
        <v>1940</v>
      </c>
      <c r="B70" s="6" t="s">
        <v>1942</v>
      </c>
      <c r="C70" s="6" t="s">
        <v>135</v>
      </c>
      <c r="D70" s="6" t="s">
        <v>135</v>
      </c>
      <c r="E70" s="6" t="s">
        <v>1502</v>
      </c>
      <c r="F70" s="28" t="s">
        <v>1944</v>
      </c>
      <c r="G70" s="6" t="s">
        <v>1515</v>
      </c>
    </row>
    <row r="71" ht="21.0" customHeight="1">
      <c r="A71" s="6" t="s">
        <v>1945</v>
      </c>
      <c r="B71" s="6" t="s">
        <v>1942</v>
      </c>
      <c r="C71" s="6" t="s">
        <v>251</v>
      </c>
      <c r="D71" s="6" t="s">
        <v>251</v>
      </c>
      <c r="E71" s="6" t="s">
        <v>1502</v>
      </c>
      <c r="F71" s="28" t="s">
        <v>1949</v>
      </c>
      <c r="G71" s="6" t="s">
        <v>1515</v>
      </c>
    </row>
    <row r="72" ht="21.0" customHeight="1">
      <c r="A72" s="6" t="s">
        <v>1950</v>
      </c>
      <c r="B72" s="6" t="s">
        <v>1942</v>
      </c>
      <c r="C72" s="6" t="s">
        <v>311</v>
      </c>
      <c r="D72" s="6" t="s">
        <v>311</v>
      </c>
      <c r="E72" s="6" t="s">
        <v>1502</v>
      </c>
      <c r="F72" s="28" t="s">
        <v>1953</v>
      </c>
      <c r="G72" s="6" t="s">
        <v>1515</v>
      </c>
    </row>
    <row r="73" ht="21.0" customHeight="1">
      <c r="A73" s="6" t="s">
        <v>1955</v>
      </c>
      <c r="B73" s="6" t="s">
        <v>1942</v>
      </c>
      <c r="C73" s="6" t="s">
        <v>395</v>
      </c>
      <c r="D73" s="6" t="s">
        <v>395</v>
      </c>
      <c r="E73" s="6" t="s">
        <v>1502</v>
      </c>
      <c r="F73" s="28" t="s">
        <v>1958</v>
      </c>
      <c r="G73" s="6" t="s">
        <v>1515</v>
      </c>
    </row>
    <row r="74" ht="21.0" customHeight="1">
      <c r="A74" s="6" t="s">
        <v>1960</v>
      </c>
      <c r="B74" s="6" t="s">
        <v>1942</v>
      </c>
      <c r="C74" s="6" t="s">
        <v>499</v>
      </c>
      <c r="D74" s="6" t="s">
        <v>499</v>
      </c>
      <c r="E74" s="6" t="s">
        <v>1502</v>
      </c>
      <c r="F74" s="28" t="s">
        <v>1963</v>
      </c>
      <c r="G74" s="6" t="s">
        <v>1515</v>
      </c>
    </row>
    <row r="75" ht="21.0" customHeight="1">
      <c r="A75" s="6" t="s">
        <v>1965</v>
      </c>
      <c r="B75" s="6" t="s">
        <v>1942</v>
      </c>
      <c r="C75" s="6" t="s">
        <v>599</v>
      </c>
      <c r="D75" s="6" t="s">
        <v>599</v>
      </c>
      <c r="E75" s="6" t="s">
        <v>1502</v>
      </c>
      <c r="F75" s="28" t="s">
        <v>1966</v>
      </c>
      <c r="G75" s="6" t="s">
        <v>1515</v>
      </c>
    </row>
    <row r="76" ht="21.0" customHeight="1">
      <c r="A76" s="6" t="s">
        <v>1970</v>
      </c>
      <c r="B76" s="6" t="s">
        <v>1942</v>
      </c>
      <c r="C76" s="6" t="s">
        <v>715</v>
      </c>
      <c r="D76" s="6" t="s">
        <v>715</v>
      </c>
      <c r="E76" s="6" t="s">
        <v>1502</v>
      </c>
      <c r="F76" s="28" t="s">
        <v>1971</v>
      </c>
      <c r="G76" s="6" t="s">
        <v>1515</v>
      </c>
    </row>
    <row r="77" ht="21.0" customHeight="1">
      <c r="A77" s="6" t="s">
        <v>1973</v>
      </c>
      <c r="B77" s="6" t="s">
        <v>1942</v>
      </c>
      <c r="C77" s="6" t="s">
        <v>794</v>
      </c>
      <c r="D77" s="6" t="s">
        <v>794</v>
      </c>
      <c r="E77" s="6" t="s">
        <v>1502</v>
      </c>
      <c r="F77" s="28" t="s">
        <v>1976</v>
      </c>
      <c r="G77" s="6" t="s">
        <v>1515</v>
      </c>
    </row>
    <row r="78" ht="21.0" customHeight="1">
      <c r="A78" s="6" t="s">
        <v>1978</v>
      </c>
      <c r="B78" s="6" t="s">
        <v>1942</v>
      </c>
      <c r="C78" s="6" t="s">
        <v>881</v>
      </c>
      <c r="D78" s="6" t="s">
        <v>881</v>
      </c>
      <c r="E78" s="6" t="s">
        <v>1502</v>
      </c>
      <c r="F78" s="28" t="s">
        <v>1981</v>
      </c>
      <c r="G78" s="6" t="s">
        <v>1515</v>
      </c>
    </row>
    <row r="79" ht="21.0" customHeight="1">
      <c r="A79" s="6" t="s">
        <v>1983</v>
      </c>
      <c r="B79" s="6" t="s">
        <v>1942</v>
      </c>
      <c r="C79" s="6" t="s">
        <v>990</v>
      </c>
      <c r="D79" s="6" t="s">
        <v>990</v>
      </c>
      <c r="E79" s="6" t="s">
        <v>1502</v>
      </c>
      <c r="F79" s="28" t="s">
        <v>1985</v>
      </c>
      <c r="G79" s="6" t="s">
        <v>1515</v>
      </c>
    </row>
    <row r="80" ht="21.0" customHeight="1">
      <c r="A80" s="6" t="s">
        <v>1987</v>
      </c>
      <c r="B80" s="6" t="s">
        <v>1942</v>
      </c>
      <c r="C80" s="6" t="s">
        <v>1095</v>
      </c>
      <c r="D80" s="6" t="s">
        <v>1095</v>
      </c>
      <c r="E80" s="6" t="s">
        <v>1502</v>
      </c>
      <c r="F80" s="28" t="s">
        <v>1990</v>
      </c>
      <c r="G80" s="6" t="s">
        <v>1515</v>
      </c>
    </row>
    <row r="81" ht="21.0" customHeight="1">
      <c r="A81" s="6" t="s">
        <v>1991</v>
      </c>
      <c r="B81" s="6" t="s">
        <v>1942</v>
      </c>
      <c r="C81" s="6" t="s">
        <v>1154</v>
      </c>
      <c r="D81" s="6" t="s">
        <v>1154</v>
      </c>
      <c r="E81" s="6" t="s">
        <v>1502</v>
      </c>
      <c r="F81" s="28" t="s">
        <v>1995</v>
      </c>
      <c r="G81" s="6" t="s">
        <v>1515</v>
      </c>
    </row>
    <row r="82" ht="21.0" customHeight="1">
      <c r="A82" s="6" t="s">
        <v>1996</v>
      </c>
      <c r="B82" s="6" t="s">
        <v>1942</v>
      </c>
      <c r="C82" s="6" t="s">
        <v>1239</v>
      </c>
      <c r="D82" s="6" t="s">
        <v>1239</v>
      </c>
      <c r="E82" s="6" t="s">
        <v>1502</v>
      </c>
      <c r="F82" s="28" t="s">
        <v>2000</v>
      </c>
      <c r="G82" s="6" t="s">
        <v>1515</v>
      </c>
    </row>
    <row r="83" ht="21.0" customHeight="1">
      <c r="A83" s="6" t="s">
        <v>2001</v>
      </c>
      <c r="B83" s="6" t="s">
        <v>1942</v>
      </c>
      <c r="C83" s="6" t="s">
        <v>1314</v>
      </c>
      <c r="D83" s="6" t="s">
        <v>1314</v>
      </c>
      <c r="E83" s="6" t="s">
        <v>1502</v>
      </c>
      <c r="F83" s="28" t="s">
        <v>2004</v>
      </c>
      <c r="G83" s="6" t="s">
        <v>1515</v>
      </c>
    </row>
    <row r="84" ht="21.0" customHeight="1">
      <c r="A84" s="6" t="s">
        <v>2006</v>
      </c>
      <c r="B84" s="6" t="s">
        <v>2008</v>
      </c>
      <c r="C84" s="6" t="s">
        <v>1510</v>
      </c>
      <c r="D84" s="6" t="s">
        <v>426</v>
      </c>
      <c r="E84" s="6" t="s">
        <v>1502</v>
      </c>
      <c r="F84" s="28" t="s">
        <v>2009</v>
      </c>
      <c r="G84" s="6" t="s">
        <v>1515</v>
      </c>
    </row>
    <row r="85" ht="21.0" customHeight="1">
      <c r="A85" s="6" t="s">
        <v>2011</v>
      </c>
      <c r="B85" s="6" t="s">
        <v>2008</v>
      </c>
      <c r="C85" s="6" t="s">
        <v>1513</v>
      </c>
      <c r="D85" s="6" t="s">
        <v>316</v>
      </c>
      <c r="E85" s="6" t="s">
        <v>1502</v>
      </c>
      <c r="F85" s="28" t="s">
        <v>2014</v>
      </c>
      <c r="G85" s="6" t="s">
        <v>1515</v>
      </c>
    </row>
    <row r="86" ht="21.0" customHeight="1">
      <c r="A86" s="6" t="s">
        <v>2015</v>
      </c>
      <c r="B86" s="6" t="s">
        <v>2008</v>
      </c>
      <c r="C86" s="6" t="s">
        <v>1528</v>
      </c>
      <c r="D86" s="6" t="s">
        <v>527</v>
      </c>
      <c r="E86" s="6" t="s">
        <v>1502</v>
      </c>
      <c r="F86" s="28" t="s">
        <v>2017</v>
      </c>
      <c r="G86" s="6" t="s">
        <v>1515</v>
      </c>
    </row>
    <row r="87" ht="21.0" customHeight="1">
      <c r="A87" s="6" t="s">
        <v>2019</v>
      </c>
      <c r="B87" s="6" t="s">
        <v>2008</v>
      </c>
      <c r="C87" s="6" t="s">
        <v>1531</v>
      </c>
      <c r="D87" s="6" t="s">
        <v>50</v>
      </c>
      <c r="E87" s="6" t="s">
        <v>1502</v>
      </c>
      <c r="F87" s="28" t="s">
        <v>2022</v>
      </c>
      <c r="G87" s="6" t="s">
        <v>1515</v>
      </c>
    </row>
    <row r="88" ht="21.0" customHeight="1">
      <c r="A88" s="6" t="s">
        <v>2024</v>
      </c>
      <c r="B88" s="6" t="s">
        <v>2008</v>
      </c>
      <c r="C88" s="6" t="s">
        <v>1537</v>
      </c>
      <c r="D88" s="6" t="s">
        <v>330</v>
      </c>
      <c r="E88" s="6" t="s">
        <v>1502</v>
      </c>
      <c r="F88" s="28" t="s">
        <v>2026</v>
      </c>
      <c r="G88" s="6" t="s">
        <v>1515</v>
      </c>
    </row>
    <row r="89" ht="21.0" customHeight="1">
      <c r="A89" s="6" t="s">
        <v>2029</v>
      </c>
      <c r="B89" s="6" t="s">
        <v>2008</v>
      </c>
      <c r="C89" s="6" t="s">
        <v>1551</v>
      </c>
      <c r="D89" s="6" t="s">
        <v>1054</v>
      </c>
      <c r="E89" s="6" t="s">
        <v>1502</v>
      </c>
      <c r="F89" s="28" t="s">
        <v>2032</v>
      </c>
      <c r="G89" s="6" t="s">
        <v>1515</v>
      </c>
    </row>
    <row r="90" ht="21.0" customHeight="1">
      <c r="A90" s="6" t="s">
        <v>2033</v>
      </c>
      <c r="B90" s="6" t="s">
        <v>2008</v>
      </c>
      <c r="C90" s="6" t="s">
        <v>1561</v>
      </c>
      <c r="D90" s="6" t="s">
        <v>918</v>
      </c>
      <c r="E90" s="6" t="s">
        <v>1502</v>
      </c>
      <c r="F90" s="28" t="s">
        <v>2037</v>
      </c>
      <c r="G90" s="6" t="s">
        <v>1515</v>
      </c>
    </row>
    <row r="91" ht="21.0" customHeight="1">
      <c r="A91" s="6" t="s">
        <v>2040</v>
      </c>
      <c r="B91" s="6" t="s">
        <v>2008</v>
      </c>
      <c r="C91" s="6" t="s">
        <v>1564</v>
      </c>
      <c r="D91" s="6" t="s">
        <v>567</v>
      </c>
      <c r="E91" s="6" t="s">
        <v>1502</v>
      </c>
      <c r="F91" s="28" t="s">
        <v>2043</v>
      </c>
      <c r="G91" s="6" t="s">
        <v>1515</v>
      </c>
    </row>
    <row r="92" ht="21.0" customHeight="1">
      <c r="A92" s="6" t="s">
        <v>2044</v>
      </c>
      <c r="B92" s="6" t="s">
        <v>2008</v>
      </c>
      <c r="C92" s="6" t="s">
        <v>1570</v>
      </c>
      <c r="D92" s="6" t="s">
        <v>618</v>
      </c>
      <c r="E92" s="6" t="s">
        <v>1502</v>
      </c>
      <c r="F92" s="28" t="s">
        <v>2046</v>
      </c>
      <c r="G92" s="6" t="s">
        <v>1515</v>
      </c>
    </row>
    <row r="93" ht="21.0" customHeight="1">
      <c r="A93" s="6" t="s">
        <v>2047</v>
      </c>
      <c r="B93" s="6" t="s">
        <v>2008</v>
      </c>
      <c r="C93" s="6" t="s">
        <v>1582</v>
      </c>
      <c r="D93" s="6" t="s">
        <v>1314</v>
      </c>
      <c r="E93" s="6" t="s">
        <v>1502</v>
      </c>
      <c r="F93" s="28" t="s">
        <v>2049</v>
      </c>
      <c r="G93" s="6" t="s">
        <v>1515</v>
      </c>
    </row>
    <row r="94" ht="21.0" customHeight="1">
      <c r="A94" s="6" t="s">
        <v>2051</v>
      </c>
      <c r="B94" s="6" t="s">
        <v>2008</v>
      </c>
      <c r="C94" s="6" t="s">
        <v>1595</v>
      </c>
      <c r="D94" s="6" t="s">
        <v>41</v>
      </c>
      <c r="E94" s="6" t="s">
        <v>1502</v>
      </c>
      <c r="F94" s="28" t="s">
        <v>2053</v>
      </c>
      <c r="G94" s="6" t="s">
        <v>1515</v>
      </c>
    </row>
    <row r="95" ht="21.0" customHeight="1">
      <c r="A95" s="6" t="s">
        <v>2055</v>
      </c>
      <c r="B95" s="6" t="s">
        <v>2008</v>
      </c>
      <c r="C95" s="6" t="s">
        <v>1607</v>
      </c>
      <c r="D95" s="6" t="s">
        <v>1063</v>
      </c>
      <c r="E95" s="6" t="s">
        <v>1502</v>
      </c>
      <c r="F95" s="28" t="s">
        <v>2056</v>
      </c>
      <c r="G95" s="6" t="s">
        <v>1515</v>
      </c>
    </row>
    <row r="96" ht="21.0" customHeight="1">
      <c r="A96" s="6" t="s">
        <v>2058</v>
      </c>
      <c r="B96" s="6" t="s">
        <v>2008</v>
      </c>
      <c r="C96" s="6" t="s">
        <v>1616</v>
      </c>
      <c r="D96" s="6" t="s">
        <v>1261</v>
      </c>
      <c r="E96" s="6" t="s">
        <v>1502</v>
      </c>
      <c r="F96" s="28" t="s">
        <v>2060</v>
      </c>
      <c r="G96" s="6" t="s">
        <v>1515</v>
      </c>
    </row>
    <row r="97" ht="21.0" customHeight="1">
      <c r="A97" s="6" t="s">
        <v>2062</v>
      </c>
      <c r="B97" s="6" t="s">
        <v>2008</v>
      </c>
      <c r="C97" s="6" t="s">
        <v>1618</v>
      </c>
      <c r="D97" s="6" t="s">
        <v>519</v>
      </c>
      <c r="E97" s="6" t="s">
        <v>1519</v>
      </c>
      <c r="F97" s="28" t="s">
        <v>2064</v>
      </c>
      <c r="G97" s="6" t="s">
        <v>1515</v>
      </c>
    </row>
    <row r="98" ht="21.0" customHeight="1">
      <c r="A98" s="6" t="s">
        <v>2066</v>
      </c>
      <c r="B98" s="6" t="s">
        <v>2008</v>
      </c>
      <c r="C98" s="6" t="s">
        <v>1645</v>
      </c>
      <c r="D98" s="6" t="s">
        <v>809</v>
      </c>
      <c r="E98" s="6" t="s">
        <v>1519</v>
      </c>
      <c r="F98" s="28" t="s">
        <v>2067</v>
      </c>
      <c r="G98" s="6" t="s">
        <v>1515</v>
      </c>
    </row>
    <row r="99" ht="21.0" customHeight="1">
      <c r="A99" s="6" t="s">
        <v>2070</v>
      </c>
      <c r="B99" s="6" t="s">
        <v>2008</v>
      </c>
      <c r="C99" s="6" t="s">
        <v>1652</v>
      </c>
      <c r="D99" s="6" t="s">
        <v>837</v>
      </c>
      <c r="E99" s="6" t="s">
        <v>1502</v>
      </c>
      <c r="F99" s="28" t="s">
        <v>2072</v>
      </c>
      <c r="G99" s="6" t="s">
        <v>1515</v>
      </c>
    </row>
    <row r="100" ht="21.0" customHeight="1">
      <c r="A100" s="6" t="s">
        <v>2073</v>
      </c>
      <c r="B100" s="6" t="s">
        <v>2008</v>
      </c>
      <c r="C100" s="6" t="s">
        <v>1670</v>
      </c>
      <c r="D100" s="6" t="s">
        <v>756</v>
      </c>
      <c r="E100" s="6" t="s">
        <v>1502</v>
      </c>
      <c r="F100" s="28" t="s">
        <v>2076</v>
      </c>
      <c r="G100" s="6" t="s">
        <v>1515</v>
      </c>
    </row>
    <row r="101" ht="21.0" customHeight="1">
      <c r="A101" s="6" t="s">
        <v>2078</v>
      </c>
      <c r="B101" s="6" t="s">
        <v>2008</v>
      </c>
      <c r="C101" s="6" t="s">
        <v>1674</v>
      </c>
      <c r="D101" s="6" t="s">
        <v>157</v>
      </c>
      <c r="E101" s="6" t="s">
        <v>1519</v>
      </c>
      <c r="F101" s="28" t="s">
        <v>2079</v>
      </c>
      <c r="G101" s="6" t="s">
        <v>1515</v>
      </c>
    </row>
    <row r="102" ht="21.0" customHeight="1">
      <c r="A102" s="6" t="s">
        <v>2081</v>
      </c>
      <c r="B102" s="6" t="s">
        <v>2008</v>
      </c>
      <c r="C102" s="6" t="s">
        <v>1701</v>
      </c>
      <c r="D102" s="6" t="s">
        <v>325</v>
      </c>
      <c r="E102" s="6" t="s">
        <v>1502</v>
      </c>
      <c r="F102" s="28" t="s">
        <v>2083</v>
      </c>
      <c r="G102" s="6" t="s">
        <v>1515</v>
      </c>
    </row>
    <row r="103" ht="21.0" customHeight="1">
      <c r="A103" s="6" t="s">
        <v>2084</v>
      </c>
      <c r="B103" s="6" t="s">
        <v>2008</v>
      </c>
      <c r="C103" s="6" t="s">
        <v>1704</v>
      </c>
      <c r="D103" s="6" t="s">
        <v>1217</v>
      </c>
      <c r="E103" s="6" t="s">
        <v>1502</v>
      </c>
      <c r="F103" s="28" t="s">
        <v>2087</v>
      </c>
      <c r="G103" s="6" t="s">
        <v>1515</v>
      </c>
    </row>
    <row r="104" ht="21.0" customHeight="1">
      <c r="A104" s="6" t="s">
        <v>2088</v>
      </c>
      <c r="B104" s="6" t="s">
        <v>2008</v>
      </c>
      <c r="C104" s="6" t="s">
        <v>1709</v>
      </c>
      <c r="D104" s="6" t="s">
        <v>884</v>
      </c>
      <c r="E104" s="6" t="s">
        <v>1502</v>
      </c>
      <c r="F104" s="28" t="s">
        <v>2090</v>
      </c>
      <c r="G104" s="6" t="s">
        <v>1515</v>
      </c>
    </row>
    <row r="105" ht="21.0" customHeight="1">
      <c r="A105" s="6" t="s">
        <v>2092</v>
      </c>
      <c r="B105" s="6" t="s">
        <v>2008</v>
      </c>
      <c r="C105" s="6" t="s">
        <v>1730</v>
      </c>
      <c r="D105" s="6" t="s">
        <v>918</v>
      </c>
      <c r="E105" s="6" t="s">
        <v>1519</v>
      </c>
      <c r="F105" s="28" t="s">
        <v>2094</v>
      </c>
      <c r="G105" s="6" t="s">
        <v>1515</v>
      </c>
    </row>
    <row r="106" ht="21.0" customHeight="1">
      <c r="A106" s="6" t="s">
        <v>2095</v>
      </c>
      <c r="B106" s="6" t="s">
        <v>2008</v>
      </c>
      <c r="C106" s="6" t="s">
        <v>1748</v>
      </c>
      <c r="D106" s="6" t="s">
        <v>1142</v>
      </c>
      <c r="E106" s="6" t="s">
        <v>1502</v>
      </c>
      <c r="F106" s="28" t="s">
        <v>2098</v>
      </c>
      <c r="G106" s="6" t="s">
        <v>1515</v>
      </c>
    </row>
    <row r="107" ht="21.0" customHeight="1">
      <c r="A107" s="6" t="s">
        <v>2100</v>
      </c>
      <c r="B107" s="6" t="s">
        <v>2008</v>
      </c>
      <c r="C107" s="6" t="s">
        <v>1762</v>
      </c>
      <c r="D107" s="6" t="s">
        <v>1316</v>
      </c>
      <c r="E107" s="6" t="s">
        <v>1519</v>
      </c>
      <c r="F107" s="28" t="s">
        <v>2101</v>
      </c>
      <c r="G107" s="6" t="s">
        <v>1515</v>
      </c>
    </row>
    <row r="108" ht="21.0" customHeight="1">
      <c r="A108" s="6" t="s">
        <v>2103</v>
      </c>
      <c r="B108" s="6" t="s">
        <v>2008</v>
      </c>
      <c r="C108" s="6" t="s">
        <v>1785</v>
      </c>
      <c r="D108" s="6" t="s">
        <v>835</v>
      </c>
      <c r="E108" s="6" t="s">
        <v>1502</v>
      </c>
      <c r="F108" s="28" t="s">
        <v>2106</v>
      </c>
      <c r="G108" s="6" t="s">
        <v>1515</v>
      </c>
    </row>
    <row r="109" ht="21.0" customHeight="1">
      <c r="A109" s="6" t="s">
        <v>2107</v>
      </c>
      <c r="B109" s="6" t="s">
        <v>2008</v>
      </c>
      <c r="C109" s="6" t="s">
        <v>1794</v>
      </c>
      <c r="D109" s="6" t="s">
        <v>1280</v>
      </c>
      <c r="E109" s="6" t="s">
        <v>1519</v>
      </c>
      <c r="F109" s="28" t="s">
        <v>2109</v>
      </c>
      <c r="G109" s="6" t="s">
        <v>1515</v>
      </c>
    </row>
    <row r="110" ht="21.0" customHeight="1">
      <c r="A110" s="6" t="s">
        <v>2112</v>
      </c>
      <c r="B110" s="6" t="s">
        <v>2008</v>
      </c>
      <c r="C110" s="6" t="s">
        <v>1819</v>
      </c>
      <c r="D110" s="6" t="s">
        <v>29</v>
      </c>
      <c r="E110" s="6" t="s">
        <v>1519</v>
      </c>
      <c r="F110" s="28" t="s">
        <v>2113</v>
      </c>
      <c r="G110" s="6" t="s">
        <v>1515</v>
      </c>
    </row>
    <row r="111" ht="21.0" customHeight="1">
      <c r="A111" s="6" t="s">
        <v>2115</v>
      </c>
      <c r="B111" s="6" t="s">
        <v>2008</v>
      </c>
      <c r="C111" s="6" t="s">
        <v>1822</v>
      </c>
      <c r="D111" s="6" t="s">
        <v>1125</v>
      </c>
      <c r="E111" s="6" t="s">
        <v>1519</v>
      </c>
      <c r="F111" s="28" t="s">
        <v>2118</v>
      </c>
      <c r="G111" s="6" t="s">
        <v>1515</v>
      </c>
    </row>
    <row r="112" ht="21.0" customHeight="1">
      <c r="A112" s="6" t="s">
        <v>2119</v>
      </c>
      <c r="B112" s="6" t="s">
        <v>2008</v>
      </c>
      <c r="C112" s="6" t="s">
        <v>1856</v>
      </c>
      <c r="D112" s="6" t="s">
        <v>874</v>
      </c>
      <c r="E112" s="6" t="s">
        <v>1519</v>
      </c>
      <c r="F112" s="28" t="s">
        <v>2121</v>
      </c>
      <c r="G112" s="6" t="s">
        <v>1515</v>
      </c>
    </row>
    <row r="113" ht="21.0" customHeight="1">
      <c r="A113" s="6" t="s">
        <v>2122</v>
      </c>
      <c r="B113" s="6" t="s">
        <v>2008</v>
      </c>
      <c r="C113" s="6" t="s">
        <v>1875</v>
      </c>
      <c r="D113" s="6" t="s">
        <v>932</v>
      </c>
      <c r="E113" s="6" t="s">
        <v>1502</v>
      </c>
      <c r="F113" s="28" t="s">
        <v>2125</v>
      </c>
      <c r="G113" s="6" t="s">
        <v>1515</v>
      </c>
    </row>
    <row r="114" ht="21.0" customHeight="1">
      <c r="A114" s="6" t="s">
        <v>2127</v>
      </c>
      <c r="B114" s="6" t="s">
        <v>2008</v>
      </c>
      <c r="C114" s="6" t="s">
        <v>1884</v>
      </c>
      <c r="D114" s="6" t="s">
        <v>1261</v>
      </c>
      <c r="E114" s="6" t="s">
        <v>1519</v>
      </c>
      <c r="F114" s="28" t="s">
        <v>2128</v>
      </c>
      <c r="G114" s="6" t="s">
        <v>1515</v>
      </c>
    </row>
    <row r="115" ht="21.0" customHeight="1">
      <c r="A115" s="6" t="s">
        <v>2130</v>
      </c>
      <c r="B115" s="6" t="s">
        <v>2008</v>
      </c>
      <c r="C115" s="6" t="s">
        <v>1888</v>
      </c>
      <c r="D115" s="6" t="s">
        <v>736</v>
      </c>
      <c r="E115" s="6" t="s">
        <v>1519</v>
      </c>
      <c r="F115" s="28" t="s">
        <v>2132</v>
      </c>
      <c r="G115" s="6" t="s">
        <v>1515</v>
      </c>
    </row>
    <row r="116" ht="21.0" customHeight="1">
      <c r="A116" s="6" t="s">
        <v>2134</v>
      </c>
      <c r="B116" s="6" t="s">
        <v>2008</v>
      </c>
      <c r="C116" s="6" t="s">
        <v>1910</v>
      </c>
      <c r="D116" s="6" t="s">
        <v>567</v>
      </c>
      <c r="E116" s="6" t="s">
        <v>1502</v>
      </c>
      <c r="F116" s="28" t="s">
        <v>2136</v>
      </c>
      <c r="G116" s="6" t="s">
        <v>1515</v>
      </c>
    </row>
    <row r="117" ht="21.0" customHeight="1">
      <c r="A117" s="6" t="s">
        <v>2137</v>
      </c>
      <c r="B117" s="6" t="s">
        <v>2008</v>
      </c>
      <c r="C117" s="6" t="s">
        <v>1919</v>
      </c>
      <c r="D117" s="6" t="s">
        <v>1270</v>
      </c>
      <c r="E117" s="6" t="s">
        <v>1519</v>
      </c>
      <c r="F117" s="28" t="s">
        <v>2140</v>
      </c>
      <c r="G117" s="6" t="s">
        <v>1515</v>
      </c>
    </row>
    <row r="118" ht="21.0" customHeight="1">
      <c r="A118" s="6" t="s">
        <v>2141</v>
      </c>
      <c r="B118" s="6" t="s">
        <v>2008</v>
      </c>
      <c r="C118" s="6" t="s">
        <v>1924</v>
      </c>
      <c r="D118" s="6" t="s">
        <v>661</v>
      </c>
      <c r="E118" s="6" t="s">
        <v>1502</v>
      </c>
      <c r="F118" s="28" t="s">
        <v>2143</v>
      </c>
      <c r="G118" s="6" t="s">
        <v>1515</v>
      </c>
    </row>
    <row r="119" ht="21.0" customHeight="1">
      <c r="A119" s="6" t="s">
        <v>2146</v>
      </c>
      <c r="B119" s="6" t="s">
        <v>2008</v>
      </c>
      <c r="C119" s="6" t="s">
        <v>1936</v>
      </c>
      <c r="D119" s="6" t="s">
        <v>897</v>
      </c>
      <c r="E119" s="6" t="s">
        <v>1502</v>
      </c>
      <c r="F119" s="28" t="s">
        <v>2147</v>
      </c>
      <c r="G119" s="6" t="s">
        <v>1515</v>
      </c>
    </row>
    <row r="120" ht="21.0" customHeight="1">
      <c r="A120" s="6" t="s">
        <v>2149</v>
      </c>
      <c r="B120" s="6" t="s">
        <v>2008</v>
      </c>
      <c r="C120" s="6" t="s">
        <v>1952</v>
      </c>
      <c r="D120" s="6" t="s">
        <v>572</v>
      </c>
      <c r="E120" s="6" t="s">
        <v>1502</v>
      </c>
      <c r="F120" s="28" t="s">
        <v>2152</v>
      </c>
      <c r="G120" s="6" t="s">
        <v>1515</v>
      </c>
    </row>
    <row r="121" ht="21.0" customHeight="1">
      <c r="A121" s="6" t="s">
        <v>2153</v>
      </c>
      <c r="B121" s="6" t="s">
        <v>2008</v>
      </c>
      <c r="C121" s="6" t="s">
        <v>1968</v>
      </c>
      <c r="D121" s="6" t="s">
        <v>932</v>
      </c>
      <c r="E121" s="6" t="s">
        <v>1519</v>
      </c>
      <c r="F121" s="28" t="s">
        <v>2155</v>
      </c>
      <c r="G121" s="6" t="s">
        <v>1515</v>
      </c>
    </row>
    <row r="122" ht="21.0" customHeight="1">
      <c r="A122" s="6" t="s">
        <v>2157</v>
      </c>
      <c r="B122" s="6" t="s">
        <v>2008</v>
      </c>
      <c r="C122" s="6" t="s">
        <v>1979</v>
      </c>
      <c r="D122" s="6" t="s">
        <v>736</v>
      </c>
      <c r="E122" s="6" t="s">
        <v>1502</v>
      </c>
      <c r="F122" s="28" t="s">
        <v>2159</v>
      </c>
      <c r="G122" s="6" t="s">
        <v>1515</v>
      </c>
    </row>
    <row r="123" ht="21.0" customHeight="1">
      <c r="A123" s="6" t="s">
        <v>2160</v>
      </c>
      <c r="B123" s="6" t="s">
        <v>2008</v>
      </c>
      <c r="C123" s="6" t="s">
        <v>1988</v>
      </c>
      <c r="D123" s="6" t="s">
        <v>1154</v>
      </c>
      <c r="E123" s="6" t="s">
        <v>1502</v>
      </c>
      <c r="F123" s="28" t="s">
        <v>2162</v>
      </c>
      <c r="G123" s="6" t="s">
        <v>1515</v>
      </c>
    </row>
    <row r="124" ht="21.0" customHeight="1">
      <c r="A124" s="6" t="s">
        <v>2164</v>
      </c>
      <c r="B124" s="6" t="s">
        <v>2008</v>
      </c>
      <c r="C124" s="6" t="s">
        <v>1998</v>
      </c>
      <c r="D124" s="6" t="s">
        <v>1226</v>
      </c>
      <c r="E124" s="6" t="s">
        <v>1502</v>
      </c>
      <c r="F124" s="28" t="s">
        <v>2166</v>
      </c>
      <c r="G124" s="6" t="s">
        <v>1515</v>
      </c>
    </row>
    <row r="125" ht="21.0" customHeight="1">
      <c r="A125" s="6" t="s">
        <v>2168</v>
      </c>
      <c r="B125" s="6" t="s">
        <v>2008</v>
      </c>
      <c r="C125" s="6" t="s">
        <v>2034</v>
      </c>
      <c r="D125" s="6" t="s">
        <v>1146</v>
      </c>
      <c r="E125" s="6" t="s">
        <v>1502</v>
      </c>
      <c r="F125" s="28" t="s">
        <v>2170</v>
      </c>
      <c r="G125" s="6" t="s">
        <v>1515</v>
      </c>
    </row>
    <row r="126" ht="21.0" customHeight="1">
      <c r="A126" s="6" t="s">
        <v>2173</v>
      </c>
      <c r="B126" s="6" t="s">
        <v>2008</v>
      </c>
      <c r="C126" s="6" t="s">
        <v>2039</v>
      </c>
      <c r="D126" s="6" t="s">
        <v>189</v>
      </c>
      <c r="E126" s="6" t="s">
        <v>1502</v>
      </c>
      <c r="F126" s="28" t="s">
        <v>2174</v>
      </c>
      <c r="G126" s="6" t="s">
        <v>1515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126">
    <cfRule type="expression" dxfId="0" priority="1">
      <formula>G2="ABIERTO"</formula>
    </cfRule>
  </conditionalFormatting>
  <conditionalFormatting sqref="G2:G126">
    <cfRule type="expression" dxfId="1" priority="2">
      <formula>G2="RESUELTO"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40.0"/>
    <col customWidth="1" min="3" max="26" width="8.63"/>
  </cols>
  <sheetData>
    <row r="1">
      <c r="A1" s="1" t="s">
        <v>2347</v>
      </c>
    </row>
    <row r="4">
      <c r="A4" s="29" t="s">
        <v>2349</v>
      </c>
      <c r="B4" s="29" t="s">
        <v>2354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2359</v>
      </c>
      <c r="B5" s="6" t="s">
        <v>2361</v>
      </c>
    </row>
    <row r="6">
      <c r="A6" s="6" t="s">
        <v>2363</v>
      </c>
      <c r="B6" s="6">
        <v>10.0</v>
      </c>
    </row>
    <row r="7">
      <c r="A7" s="6" t="s">
        <v>2365</v>
      </c>
      <c r="B7" s="6">
        <v>4.0</v>
      </c>
    </row>
    <row r="8">
      <c r="A8" s="6" t="s">
        <v>2367</v>
      </c>
      <c r="B8" s="6">
        <v>12.0</v>
      </c>
    </row>
    <row r="9">
      <c r="A9" s="6" t="s">
        <v>2369</v>
      </c>
      <c r="B9" s="6">
        <v>24.0</v>
      </c>
    </row>
    <row r="10">
      <c r="A10" s="6" t="s">
        <v>2370</v>
      </c>
      <c r="B10" s="6" t="s">
        <v>2372</v>
      </c>
    </row>
    <row r="11">
      <c r="A11" s="6" t="s">
        <v>2374</v>
      </c>
      <c r="B11" s="6" t="s">
        <v>2375</v>
      </c>
    </row>
    <row r="13" ht="31.5" customHeight="1">
      <c r="A13" s="30" t="s">
        <v>2377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A13:F1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95.0"/>
    <col customWidth="1" min="3" max="26" width="8.63"/>
  </cols>
  <sheetData>
    <row r="1">
      <c r="A1" s="31" t="s">
        <v>2413</v>
      </c>
    </row>
    <row r="4" ht="27.0" customHeight="1">
      <c r="A4" s="4" t="s">
        <v>2418</v>
      </c>
      <c r="B4" s="4" t="s">
        <v>2420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6" t="s">
        <v>2423</v>
      </c>
      <c r="B5" s="6" t="s">
        <v>2424</v>
      </c>
    </row>
    <row r="6" ht="27.0" customHeight="1">
      <c r="A6" s="6" t="s">
        <v>2426</v>
      </c>
      <c r="B6" s="6" t="s">
        <v>2427</v>
      </c>
    </row>
    <row r="7" ht="27.0" customHeight="1">
      <c r="A7" s="6" t="s">
        <v>2429</v>
      </c>
      <c r="B7" s="6" t="s">
        <v>2430</v>
      </c>
    </row>
    <row r="8" ht="27.0" customHeight="1">
      <c r="A8" s="6" t="s">
        <v>2432</v>
      </c>
      <c r="B8" s="6" t="s">
        <v>2433</v>
      </c>
    </row>
    <row r="9" ht="27.0" customHeight="1">
      <c r="A9" s="6" t="s">
        <v>2359</v>
      </c>
      <c r="B9" s="6" t="s">
        <v>2435</v>
      </c>
    </row>
    <row r="10" ht="27.0" customHeight="1">
      <c r="A10" s="6" t="s">
        <v>2436</v>
      </c>
      <c r="B10" s="6" t="s">
        <v>2438</v>
      </c>
    </row>
    <row r="11" ht="27.0" customHeight="1">
      <c r="A11" s="6" t="s">
        <v>2439</v>
      </c>
      <c r="B11" s="6" t="s">
        <v>2440</v>
      </c>
    </row>
    <row r="12" ht="27.0" customHeight="1">
      <c r="A12" s="6" t="s">
        <v>2442</v>
      </c>
      <c r="B12" s="6" t="s">
        <v>2443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/>
  <pageMargins bottom="0.75" footer="0.0" header="0.0" left="0.7" right="0.7" top="0.75"/>
  <pageSetup orientation="landscape"/>
  <drawing r:id="rId1"/>
</worksheet>
</file>